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Instrucciones" sheetId="1" state="visible" r:id="rId3"/>
    <sheet name="🏗️ Etapas" sheetId="2" state="visible" r:id="rId4"/>
    <sheet name="👷 Responsables" sheetId="3" state="visible" r:id="rId5"/>
    <sheet name="📋 Operaciones" sheetId="4" state="visible" r:id="rId6"/>
    <sheet name="📦 BOM_Materiales" sheetId="5" state="visible" r:id="rId7"/>
    <sheet name="✅ Leyenda_Color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<sst xmlns="http://schemas.openxmlformats.org/spreadsheetml/2006/main" count="353" uniqueCount="257">
  <si>
    <t xml:space="preserve">OBRA360 — INSTRUCCIONES v2</t>
  </si>
  <si>
    <t xml:space="preserve">HOJAS DEL ARCHIVO</t>
  </si>
  <si>
    <t xml:space="preserve">🏗️ Etapas</t>
  </si>
  <si>
    <t xml:space="preserve">Define las etapas antes de cargar operaciones. Los pesos de etapa deben sumar 100.</t>
  </si>
  <si>
    <t xml:space="preserve">Cargar primero</t>
  </si>
  <si>
    <t xml:space="preserve">👷 Responsables</t>
  </si>
  <si>
    <t xml:space="preserve">Alta de cuadrillas y subcontratistas con su código. Se usa como dropdown en Operaciones.</t>
  </si>
  <si>
    <t xml:space="preserve">Cargar segundo</t>
  </si>
  <si>
    <t xml:space="preserve">📋 Operaciones</t>
  </si>
  <si>
    <t xml:space="preserve">Cuerpo principal. Una fila por operación.</t>
  </si>
  <si>
    <t xml:space="preserve">Editable</t>
  </si>
  <si>
    <t xml:space="preserve">📦 BOM_Materiales</t>
  </si>
  <si>
    <t xml:space="preserve">Filas generadas por la app al importar. Completar solo Cod, Cantidad y Unidad.</t>
  </si>
  <si>
    <t xml:space="preserve">Semi-auto</t>
  </si>
  <si>
    <t xml:space="preserve">📖 Instrucciones</t>
  </si>
  <si>
    <t xml:space="preserve">Esta hoja.</t>
  </si>
  <si>
    <t xml:space="preserve">Solo lectura</t>
  </si>
  <si>
    <t xml:space="preserve">✅ Leyenda_Colores</t>
  </si>
  <si>
    <t xml:space="preserve">Referencia de colores.</t>
  </si>
  <si>
    <t xml:space="preserve">COLUMNAS NUEVAS v2 🟠</t>
  </si>
  <si>
    <t xml:space="preserve">Peso_Pct (col I)</t>
  </si>
  <si>
    <t xml:space="preserve">Override manual del peso de la operación. Por defecto toma el valor calculado automáticamente por horas (col H). Podés pisarlo. La suma de todos debe dar 100 (ver fila de verificación).</t>
  </si>
  <si>
    <t xml:space="preserve">Número</t>
  </si>
  <si>
    <t xml:space="preserve">Unidad_Avance (col J)</t>
  </si>
  <si>
    <t xml:space="preserve">Cómo cargará el capataz el avance desde tablet: PORCENTAJE (0-100%), CANTIDAD (n de X unidades hechas), BINARIO (hecho/no hecho).</t>
  </si>
  <si>
    <t xml:space="preserve">Dropdown</t>
  </si>
  <si>
    <t xml:space="preserve">Criterio_Cierre (col K)</t>
  </si>
  <si>
    <t xml:space="preserve">Texto que describe cuándo se considera 100% terminada la operación. Evita disputas en obra.</t>
  </si>
  <si>
    <t xml:space="preserve">Texto libre</t>
  </si>
  <si>
    <t xml:space="preserve">Responsable (col M)</t>
  </si>
  <si>
    <t xml:space="preserve">Dropdown que lee de la hoja Responsables. Usar el CÓDIGO (ej: CUA-A, SUB-01) para garantizar vínculo con MOD-07.</t>
  </si>
  <si>
    <t xml:space="preserve">Version_Plan (col O)</t>
  </si>
  <si>
    <t xml:space="preserve">Identificador de versión del plan (v1, v2…). Cuando modifiques y reimportes, incrementá este número para que la app guarde el historial.</t>
  </si>
  <si>
    <t xml:space="preserve">Texto: v1, v2…</t>
  </si>
  <si>
    <t xml:space="preserve">LÓGICA DE PESO_PCT</t>
  </si>
  <si>
    <t xml:space="preserve">¿Qué es Peso_Auto?</t>
  </si>
  <si>
    <t xml:space="preserve">Columna H — calculada automáticamente: Peso_Auto = Duración_OP / Suma_Duración_Total × 100. Se recalcula sola cada vez que cambiás una duración.</t>
  </si>
  <si>
    <t xml:space="preserve">Auto</t>
  </si>
  <si>
    <t xml:space="preserve">¿Qué es Peso_Pct?</t>
  </si>
  <si>
    <t xml:space="preserve">Columna I — por defecto copia Peso_Auto. Si querés ajustar el peso de una OP específica, pisá la fórmula con el número que querés.</t>
  </si>
  <si>
    <t xml:space="preserve">Override</t>
  </si>
  <si>
    <t xml:space="preserve">Suma = 100%</t>
  </si>
  <si>
    <t xml:space="preserve">La fila de verificación al final de la tabla muestra la suma de Peso_Pct. Debe ser exactamente 100. Si no, aparece en rojo.</t>
  </si>
  <si>
    <t xml:space="preserve">Validar</t>
  </si>
  <si>
    <t xml:space="preserve">Ejemplo práctico</t>
  </si>
  <si>
    <t xml:space="preserve">OP de 8hs en un proyecto de 160hs totales → Peso_Auto = 5%. Si esa OP es crítica, el planificador puede subirla a 10% y bajar otras proporcionalmente.</t>
  </si>
  <si>
    <t xml:space="preserve">DEPENDENCIAS Y PARALELAS</t>
  </si>
  <si>
    <t xml:space="preserve">Depende_De simple</t>
  </si>
  <si>
    <t xml:space="preserve">Un solo número: 200 → esta OP empieza cuando termina la OP 200.</t>
  </si>
  <si>
    <t xml:space="preserve">Ej: 200</t>
  </si>
  <si>
    <t xml:space="preserve">Depende_De múltiple</t>
  </si>
  <si>
    <t xml:space="preserve">Separar con PUNTO Y COMA: 200;300 → empieza cuando terminan AMBAS. La app toma la fecha de fin más tardía.</t>
  </si>
  <si>
    <t xml:space="preserve">Ej: 200;300</t>
  </si>
  <si>
    <t xml:space="preserve">Paralelas</t>
  </si>
  <si>
    <t xml:space="preserve">Para correr en paralelo con otra OP, ponés la misma predecesora en ambas. Ej: OP300 y OP400 ambas con Depende_De=200 → corren simultáneamente desde que termina 200.</t>
  </si>
  <si>
    <t xml:space="preserve">Misma predec.</t>
  </si>
  <si>
    <t xml:space="preserve">Desfase</t>
  </si>
  <si>
    <t xml:space="preserve">OP que debe empezar 72hs DESPUÉS que termine su predecesora → Desfase_Inicio_Hs = 72. Útil para fragüe de hormigón, secado, curado.</t>
  </si>
  <si>
    <t xml:space="preserve">Número en hs</t>
  </si>
  <si>
    <t xml:space="preserve">Sin predecesora</t>
  </si>
  <si>
    <t xml:space="preserve">Dejar Depende_De vacío (aparece —). Solo la primera OP del proyecto debería no tener predecesora (o las que arrancas en paralelo al inicio).</t>
  </si>
  <si>
    <t xml:space="preserve">Dejar vacío</t>
  </si>
  <si>
    <t xml:space="preserve">FLUJO DE CARGA RECOMENDADO</t>
  </si>
  <si>
    <t xml:space="preserve">Paso 1 — Etapas</t>
  </si>
  <si>
    <t xml:space="preserve">Cargá las etapas del proyecto con sus pesos en la hoja Etapas. Verificá que sumen 100%.</t>
  </si>
  <si>
    <t xml:space="preserve">Paso 2 — Responsables</t>
  </si>
  <si>
    <t xml:space="preserve">Cargá cuadrillas y subcontratistas en la hoja Responsables con sus códigos.</t>
  </si>
  <si>
    <t xml:space="preserve">Paso 3 — Operaciones</t>
  </si>
  <si>
    <t xml:space="preserve">Completá la hoja Operaciones: secuencia, nombre, dependencias, duración, responsable.</t>
  </si>
  <si>
    <t xml:space="preserve">Paso 4 — Pesos</t>
  </si>
  <si>
    <t xml:space="preserve">Revisá la columna Peso_Auto. Si el planificador quiere ajustar, pisa Peso_Pct en esas filas. Verificá que la suma sea 100%.</t>
  </si>
  <si>
    <t xml:space="preserve">Paso 5 — BOM</t>
  </si>
  <si>
    <t xml:space="preserve">Importá el archivo en la app. La app genera las filas del BOM. Completá Cod_Material, Cantidad y Unidad.</t>
  </si>
  <si>
    <t xml:space="preserve">Paso 6 — Actualizaciones</t>
  </si>
  <si>
    <t xml:space="preserve">Para modificar el plan: editá el Excel, incrementá Version_Plan (v1→v2) y reimportá. La app guarda ambas versiones.</t>
  </si>
  <si>
    <t xml:space="preserve">OBRA360 — DEFINICIÓN DE ETAPAS</t>
  </si>
  <si>
    <t xml:space="preserve">  Definí las etapas del proyecto aquí. La columna Etapa en Operaciones tomará los valores de esta hoja via dropdown. Los pesos de etapa deben sumar 100%.</t>
  </si>
  <si>
    <t xml:space="preserve">CÓD.
ETAPA</t>
  </si>
  <si>
    <t xml:space="preserve">NOMBRE ETAPA</t>
  </si>
  <si>
    <t xml:space="preserve">PESO_ETAPA
(%)</t>
  </si>
  <si>
    <t xml:space="preserve">FECHA INICIO
ESTIMADA</t>
  </si>
  <si>
    <t xml:space="preserve">FECHA FIN
ESTIMADA</t>
  </si>
  <si>
    <t xml:space="preserve">NOTAS</t>
  </si>
  <si>
    <t xml:space="preserve">E1</t>
  </si>
  <si>
    <t xml:space="preserve">E1 - Fundaciones</t>
  </si>
  <si>
    <t xml:space="preserve">15/04/2025</t>
  </si>
  <si>
    <t xml:space="preserve">30/05/2025</t>
  </si>
  <si>
    <t xml:space="preserve">E2</t>
  </si>
  <si>
    <t xml:space="preserve">E2 - Estructura PB-P3</t>
  </si>
  <si>
    <t xml:space="preserve">01/06/2025</t>
  </si>
  <si>
    <t xml:space="preserve">30/09/2025</t>
  </si>
  <si>
    <t xml:space="preserve">E3</t>
  </si>
  <si>
    <t xml:space="preserve">E3 - Estructura P4-P8</t>
  </si>
  <si>
    <t xml:space="preserve">01/10/2025</t>
  </si>
  <si>
    <t xml:space="preserve">28/02/2026</t>
  </si>
  <si>
    <t xml:space="preserve">E4</t>
  </si>
  <si>
    <t xml:space="preserve">E4 - Cerramientos</t>
  </si>
  <si>
    <t xml:space="preserve">01/03/2026</t>
  </si>
  <si>
    <t xml:space="preserve">30/04/2026</t>
  </si>
  <si>
    <t xml:space="preserve">E5</t>
  </si>
  <si>
    <t xml:space="preserve">E5 - Terminaciones</t>
  </si>
  <si>
    <t xml:space="preserve">01/05/2026</t>
  </si>
  <si>
    <t xml:space="preserve">30/06/2026</t>
  </si>
  <si>
    <t xml:space="preserve">SUMA DE PESOS (debe ser 100%)</t>
  </si>
  <si>
    <t xml:space="preserve">OBRA360 — CUADRILLAS Y RESPONSABLES</t>
  </si>
  <si>
    <t xml:space="preserve">  Registrá aquí todas las cuadrillas y subcontratistas. La columna Responsable en Operaciones usa un dropdown que lee de esta hoja.</t>
  </si>
  <si>
    <t xml:space="preserve">CÓD.</t>
  </si>
  <si>
    <t xml:space="preserve">NOMBRE / RAZÓN SOCIAL</t>
  </si>
  <si>
    <t xml:space="preserve">TIPO</t>
  </si>
  <si>
    <t xml:space="preserve">ESPECIALIDAD</t>
  </si>
  <si>
    <t xml:space="preserve">N° PERSONAS
(cuadrilla)</t>
  </si>
  <si>
    <t xml:space="preserve">COSTO_HS
(referencia)</t>
  </si>
  <si>
    <t xml:space="preserve">CUA-A</t>
  </si>
  <si>
    <t xml:space="preserve">Cuadrilla A</t>
  </si>
  <si>
    <t xml:space="preserve">CUADRILLA PROPIA</t>
  </si>
  <si>
    <t xml:space="preserve">Estructura / Hormigón</t>
  </si>
  <si>
    <t xml:space="preserve">CUA-B</t>
  </si>
  <si>
    <t xml:space="preserve">Cuadrilla B</t>
  </si>
  <si>
    <t xml:space="preserve">Mampostería / Revoques</t>
  </si>
  <si>
    <t xml:space="preserve">CUA-C</t>
  </si>
  <si>
    <t xml:space="preserve">Cuadrilla C</t>
  </si>
  <si>
    <t xml:space="preserve">Hierro / Armado</t>
  </si>
  <si>
    <t xml:space="preserve">SUB-01</t>
  </si>
  <si>
    <t xml:space="preserve">ElecSur S.A.</t>
  </si>
  <si>
    <t xml:space="preserve">SUBCONTRATISTA</t>
  </si>
  <si>
    <t xml:space="preserve">Electricidad</t>
  </si>
  <si>
    <t xml:space="preserve">SUB-02</t>
  </si>
  <si>
    <t xml:space="preserve">HidroPlus</t>
  </si>
  <si>
    <t xml:space="preserve">Plomería / Sanitaria</t>
  </si>
  <si>
    <t xml:space="preserve">OBRA360 — PLANIFICACIÓN DE OPERACIONES  v2</t>
  </si>
  <si>
    <t xml:space="preserve">  🔵 Azul = editar  |  ⬜ Gris = calculado (no editar)  |  🟠 Naranja = columnas nuevas v2  |  🟡 Amarillo = solo 1ra OP  |  Secuencia en múltiplos de 100  |  Depende_De: usar ; para múltiples (ej: 200;300)</t>
  </si>
  <si>
    <t xml:space="preserve">IDENTIFICACIÓN</t>
  </si>
  <si>
    <t xml:space="preserve">SECUENCIAMIENTO</t>
  </si>
  <si>
    <t xml:space="preserve">PESO (%)</t>
  </si>
  <si>
    <t xml:space="preserve">AVANCE</t>
  </si>
  <si>
    <t xml:space="preserve">RECURSOS</t>
  </si>
  <si>
    <t xml:space="preserve">ADMINISTRACIÓN</t>
  </si>
  <si>
    <t xml:space="preserve">PROYECTO</t>
  </si>
  <si>
    <t xml:space="preserve">ETAPA</t>
  </si>
  <si>
    <t xml:space="preserve">SECUENCIA</t>
  </si>
  <si>
    <t xml:space="preserve">OPERACIÓN</t>
  </si>
  <si>
    <t xml:space="preserve">DEPENDE_DE
(sep. ; para múltiples)</t>
  </si>
  <si>
    <t xml:space="preserve">DESFASE
INICIO (hs)</t>
  </si>
  <si>
    <t xml:space="preserve">DURACIÓN
(hs)</t>
  </si>
  <si>
    <t xml:space="preserve">PESO_AUTO
(% por hs) ⬜</t>
  </si>
  <si>
    <t xml:space="preserve">PESO_PCT
(override %)</t>
  </si>
  <si>
    <t xml:space="preserve">UNIDAD
AVANCE</t>
  </si>
  <si>
    <t xml:space="preserve">CRITERIO
CIERRE</t>
  </si>
  <si>
    <t xml:space="preserve">CANT.
MATERIALES</t>
  </si>
  <si>
    <t xml:space="preserve">RESPONSABLE
(dropdown)</t>
  </si>
  <si>
    <t xml:space="preserve">FECHA INICIO
(solo 1ra OP)</t>
  </si>
  <si>
    <t xml:space="preserve">VERSIÓN
PLAN</t>
  </si>
  <si>
    <t xml:space="preserve">Torre Nordeste</t>
  </si>
  <si>
    <t xml:space="preserve">Excavación y movimiento de suelos</t>
  </si>
  <si>
    <t xml:space="preserve">—</t>
  </si>
  <si>
    <t xml:space="preserve">BINARIO</t>
  </si>
  <si>
    <t xml:space="preserve">Verificación de cotas por inspector</t>
  </si>
  <si>
    <t xml:space="preserve">v1</t>
  </si>
  <si>
    <t xml:space="preserve">Verificar nivel freático antes de iniciar</t>
  </si>
  <si>
    <t xml:space="preserve">Armado de bases y zapatas</t>
  </si>
  <si>
    <t xml:space="preserve">100</t>
  </si>
  <si>
    <t xml:space="preserve">PORCENTAJE</t>
  </si>
  <si>
    <t xml:space="preserve">Armado completo aprobado por director</t>
  </si>
  <si>
    <t xml:space="preserve">← auto</t>
  </si>
  <si>
    <t xml:space="preserve">Colado hormigón bases</t>
  </si>
  <si>
    <t xml:space="preserve">200</t>
  </si>
  <si>
    <t xml:space="preserve">Colado y vibrado. Esperar 24hs antes de carga.</t>
  </si>
  <si>
    <t xml:space="preserve">24hs desfase por fragüe mínimo</t>
  </si>
  <si>
    <t xml:space="preserve">Instalación sanitaria subsuelo</t>
  </si>
  <si>
    <t xml:space="preserve">200;300</t>
  </si>
  <si>
    <t xml:space="preserve">Prueba hidráulica aprobada</t>
  </si>
  <si>
    <t xml:space="preserve">Depende de 200 Y 300 — usa ; para múltiples</t>
  </si>
  <si>
    <t xml:space="preserve">Encofrado losa PB</t>
  </si>
  <si>
    <t xml:space="preserve">300</t>
  </si>
  <si>
    <t xml:space="preserve">CANTIDAD</t>
  </si>
  <si>
    <t xml:space="preserve">Encofrado completo según plano L-PB-01</t>
  </si>
  <si>
    <t xml:space="preserve">72hs desfase por curado bases</t>
  </si>
  <si>
    <t xml:space="preserve">Armado hierro losa PB</t>
  </si>
  <si>
    <t xml:space="preserve">500</t>
  </si>
  <si>
    <t xml:space="preserve">100% del hierro colocado y atado</t>
  </si>
  <si>
    <t xml:space="preserve">Colado hormigón losa PB</t>
  </si>
  <si>
    <t xml:space="preserve">600</t>
  </si>
  <si>
    <t xml:space="preserve">Colado completo. Director firma conformidad.</t>
  </si>
  <si>
    <t xml:space="preserve">VERIFICACIÓN — Suma de Peso_Pct (columna I) debe ser 100%</t>
  </si>
  <si>
    <t xml:space="preserve">OBRA360 — BOM DE MATERIALES POR OPERACIÓN  v2</t>
  </si>
  <si>
    <t xml:space="preserve">  ⬜ Gris: auto-generado por la app al importar — NO editar  |  🟢 Verde: completar Cod_Material, Cantidad_Teorica y Unidad  |  Las filas se crean automáticamente en la app según Cant_Materiales</t>
  </si>
  <si>
    <t xml:space="preserve">SEQ
OP</t>
  </si>
  <si>
    <t xml:space="preserve">N°
MAT.</t>
  </si>
  <si>
    <t xml:space="preserve">CÓD. MATERIAL
(Revit / lista maestra)</t>
  </si>
  <si>
    <t xml:space="preserve">CANTIDAD
TEÓRICA</t>
  </si>
  <si>
    <t xml:space="preserve">UNIDAD</t>
  </si>
  <si>
    <t xml:space="preserve">DESCRIPCIÓN</t>
  </si>
  <si>
    <t xml:space="preserve">MAT-034</t>
  </si>
  <si>
    <t xml:space="preserve">830</t>
  </si>
  <si>
    <t xml:space="preserve">kg</t>
  </si>
  <si>
    <t xml:space="preserve">Hierro Ø12</t>
  </si>
  <si>
    <t xml:space="preserve">MAT-035</t>
  </si>
  <si>
    <t xml:space="preserve">420</t>
  </si>
  <si>
    <t xml:space="preserve">Hierro Ø8</t>
  </si>
  <si>
    <t xml:space="preserve">MAT-012</t>
  </si>
  <si>
    <t xml:space="preserve">48</t>
  </si>
  <si>
    <t xml:space="preserve">bolsas</t>
  </si>
  <si>
    <t xml:space="preserve">Cemento Portland</t>
  </si>
  <si>
    <t xml:space="preserve">MAT-008</t>
  </si>
  <si>
    <t xml:space="preserve">14.2</t>
  </si>
  <si>
    <t xml:space="preserve">m³</t>
  </si>
  <si>
    <t xml:space="preserve">Arena fina</t>
  </si>
  <si>
    <t xml:space="preserve">96</t>
  </si>
  <si>
    <t xml:space="preserve">MAT-080</t>
  </si>
  <si>
    <t xml:space="preserve">45</t>
  </si>
  <si>
    <t xml:space="preserve">ml</t>
  </si>
  <si>
    <t xml:space="preserve">Caño PVC 110mm</t>
  </si>
  <si>
    <t xml:space="preserve">MAT-081</t>
  </si>
  <si>
    <t xml:space="preserve">12</t>
  </si>
  <si>
    <t xml:space="preserve">unid</t>
  </si>
  <si>
    <t xml:space="preserve">Codo 90° PVC 110mm</t>
  </si>
  <si>
    <t xml:space="preserve">MAT-082</t>
  </si>
  <si>
    <t xml:space="preserve">8</t>
  </si>
  <si>
    <t xml:space="preserve">Tee PVC 110mm</t>
  </si>
  <si>
    <t xml:space="preserve">MAT-083</t>
  </si>
  <si>
    <t xml:space="preserve">2</t>
  </si>
  <si>
    <t xml:space="preserve">Trampa sanitaria</t>
  </si>
  <si>
    <t xml:space="preserve">MAT-090</t>
  </si>
  <si>
    <t xml:space="preserve">80</t>
  </si>
  <si>
    <t xml:space="preserve">m²</t>
  </si>
  <si>
    <t xml:space="preserve">Encofrado madera</t>
  </si>
  <si>
    <t xml:space="preserve">MAT-091</t>
  </si>
  <si>
    <t xml:space="preserve">15</t>
  </si>
  <si>
    <t xml:space="preserve">Alambre atar</t>
  </si>
  <si>
    <t xml:space="preserve">1200</t>
  </si>
  <si>
    <t xml:space="preserve">MAT-036</t>
  </si>
  <si>
    <t xml:space="preserve">360</t>
  </si>
  <si>
    <t xml:space="preserve">Hierro Ø16</t>
  </si>
  <si>
    <t xml:space="preserve">280</t>
  </si>
  <si>
    <t xml:space="preserve">22</t>
  </si>
  <si>
    <t xml:space="preserve">144</t>
  </si>
  <si>
    <t xml:space="preserve">LEYENDA DE COLORES — OBRA360 v2</t>
  </si>
  <si>
    <t xml:space="preserve">🔵 Azul claro</t>
  </si>
  <si>
    <t xml:space="preserve">Campo editable — completar</t>
  </si>
  <si>
    <t xml:space="preserve">⬜ Gris</t>
  </si>
  <si>
    <t xml:space="preserve">Calculado automáticamente — NO editar</t>
  </si>
  <si>
    <t xml:space="preserve">🟡 Amarillo</t>
  </si>
  <si>
    <t xml:space="preserve">Campo especial — solo Fecha_Inicio 1ra OP</t>
  </si>
  <si>
    <t xml:space="preserve">🟢 Verde claro</t>
  </si>
  <si>
    <t xml:space="preserve">Campos editables en BOM_Materiales</t>
  </si>
  <si>
    <t xml:space="preserve">🟠 Naranja claro</t>
  </si>
  <si>
    <t xml:space="preserve">Columnas nuevas v2 — Peso, Unidad_Avance, Criterio, Responsable, Versión</t>
  </si>
  <si>
    <t xml:space="preserve">🟠 Naranja oscuro</t>
  </si>
  <si>
    <t xml:space="preserve">Celda Depende_De con múltiples predecesoras (200;300)</t>
  </si>
  <si>
    <t xml:space="preserve">■ Azul oscuro</t>
  </si>
  <si>
    <t xml:space="preserve">Encabezados de sección</t>
  </si>
  <si>
    <t xml:space="preserve">■ Verde oscuro</t>
  </si>
  <si>
    <t xml:space="preserve">Encabezados BOM_Materiales</t>
  </si>
  <si>
    <t xml:space="preserve">🔴 Rojo</t>
  </si>
  <si>
    <t xml:space="preserve">Suma de pesos ≠ 100% (error a corregir)</t>
  </si>
  <si>
    <t xml:space="preserve">🟢 Verde (check)</t>
  </si>
  <si>
    <t xml:space="preserve">Suma de pesos = 100% (correcto)</t>
  </si>
</sst>
</file>

<file path=xl/styles.xml><?xml version="1.0" encoding="utf-8"?>
<styleSheet xmlns="http://schemas.openxmlformats.org/spreadsheetml/2006/main">
  <numFmts count="3">
    <numFmt numFmtId="164" formatCode="General"/>
    <numFmt numFmtId="165" formatCode="General"/>
    <numFmt numFmtId="166" formatCode="0.0\%"/>
  </numFmts>
  <fonts count="3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9"/>
      <name val="Arial"/>
      <family val="0"/>
      <charset val="1"/>
    </font>
    <font>
      <sz val="9"/>
      <name val="Arial"/>
      <family val="0"/>
      <charset val="1"/>
    </font>
    <font>
      <i val="true"/>
      <sz val="8"/>
      <color rgb="FF555555"/>
      <name val="Arial"/>
      <family val="0"/>
      <charset val="1"/>
    </font>
    <font>
      <b val="true"/>
      <sz val="13"/>
      <color rgb="FFFFFFFF"/>
      <name val="Arial"/>
      <family val="0"/>
      <charset val="1"/>
    </font>
    <font>
      <i val="true"/>
      <sz val="8"/>
      <color rgb="FF444444"/>
      <name val="Arial"/>
      <family val="0"/>
      <charset val="1"/>
    </font>
    <font>
      <b val="true"/>
      <sz val="9"/>
      <color rgb="FFFFFFFF"/>
      <name val="Arial"/>
      <family val="0"/>
      <charset val="1"/>
    </font>
    <font>
      <b val="true"/>
      <sz val="10"/>
      <color rgb="FF2E4057"/>
      <name val="Arial"/>
      <family val="0"/>
      <charset val="1"/>
    </font>
    <font>
      <sz val="10"/>
      <color rgb="FF000000"/>
      <name val="Arial"/>
      <family val="0"/>
      <charset val="1"/>
    </font>
    <font>
      <b val="true"/>
      <sz val="10"/>
      <color rgb="FF27AE60"/>
      <name val="Arial"/>
      <family val="0"/>
      <charset val="1"/>
    </font>
    <font>
      <sz val="9"/>
      <color rgb="FF000000"/>
      <name val="Arial"/>
      <family val="0"/>
      <charset val="1"/>
    </font>
    <font>
      <b val="true"/>
      <sz val="12"/>
      <name val="Arial"/>
      <family val="0"/>
      <charset val="1"/>
    </font>
    <font>
      <b val="true"/>
      <sz val="9"/>
      <color rgb="FF2E4057"/>
      <name val="Arial"/>
      <family val="0"/>
      <charset val="1"/>
    </font>
    <font>
      <i val="true"/>
      <sz val="8"/>
      <color rgb="FF333333"/>
      <name val="Arial"/>
      <family val="0"/>
      <charset val="1"/>
    </font>
    <font>
      <b val="true"/>
      <sz val="8"/>
      <color rgb="FFFFFFFF"/>
      <name val="Arial"/>
      <family val="0"/>
      <charset val="1"/>
    </font>
    <font>
      <i val="true"/>
      <sz val="9"/>
      <color rgb="FFAAAAAA"/>
      <name val="Arial"/>
      <family val="0"/>
      <charset val="1"/>
    </font>
    <font>
      <b val="true"/>
      <sz val="9"/>
      <color rgb="FF000000"/>
      <name val="Arial"/>
      <family val="0"/>
      <charset val="1"/>
    </font>
    <font>
      <i val="true"/>
      <sz val="9"/>
      <color rgb="FF555555"/>
      <name val="Arial"/>
      <family val="0"/>
      <charset val="1"/>
    </font>
    <font>
      <b val="true"/>
      <sz val="9"/>
      <color rgb="FF7A4A4A"/>
      <name val="Arial"/>
      <family val="0"/>
      <charset val="1"/>
    </font>
    <font>
      <sz val="8"/>
      <color rgb="FF000000"/>
      <name val="Arial"/>
      <family val="0"/>
      <charset val="1"/>
    </font>
    <font>
      <b val="true"/>
      <sz val="11"/>
      <color rgb="FF27AE60"/>
      <name val="Arial"/>
      <family val="0"/>
      <charset val="1"/>
    </font>
    <font>
      <i val="true"/>
      <sz val="8"/>
      <color rgb="FFAAAAAA"/>
      <name val="Arial"/>
      <family val="0"/>
      <charset val="1"/>
    </font>
    <font>
      <b val="true"/>
      <sz val="10"/>
      <color rgb="FF7B4F00"/>
      <name val="Arial"/>
      <family val="0"/>
      <charset val="1"/>
    </font>
    <font>
      <b val="true"/>
      <sz val="9"/>
      <color rgb="FF4A7A5A"/>
      <name val="Arial"/>
      <family val="0"/>
      <charset val="1"/>
    </font>
    <font>
      <sz val="9"/>
      <color rgb="FF555555"/>
      <name val="Arial"/>
      <family val="0"/>
      <charset val="1"/>
    </font>
    <font>
      <b val="true"/>
      <sz val="12"/>
      <color rgb="FFFFFFFF"/>
      <name val="Arial"/>
      <family val="0"/>
      <charset val="1"/>
    </font>
    <font>
      <b val="true"/>
      <sz val="10"/>
      <color rgb="FF000000"/>
      <name val="Arial"/>
      <family val="0"/>
      <charset val="1"/>
    </font>
    <font>
      <b val="true"/>
      <sz val="10"/>
      <color rgb="FF555555"/>
      <name val="Arial"/>
      <family val="0"/>
      <charset val="1"/>
    </font>
    <font>
      <b val="true"/>
      <sz val="10"/>
      <color rgb="FFE74C3C"/>
      <name val="Arial"/>
      <family val="0"/>
      <charset val="1"/>
    </font>
  </fonts>
  <fills count="27">
    <fill>
      <patternFill patternType="none"/>
    </fill>
    <fill>
      <patternFill patternType="gray125"/>
    </fill>
    <fill>
      <patternFill patternType="solid">
        <fgColor rgb="FF1C2B3A"/>
        <bgColor rgb="FF1A3A2A"/>
      </patternFill>
    </fill>
    <fill>
      <patternFill patternType="solid">
        <fgColor rgb="FF2E4057"/>
        <bgColor rgb="FF444444"/>
      </patternFill>
    </fill>
    <fill>
      <patternFill patternType="solid">
        <fgColor rgb="FFF5F5F5"/>
        <bgColor rgb="FFF0F7FF"/>
      </patternFill>
    </fill>
    <fill>
      <patternFill patternType="solid">
        <fgColor rgb="FFFAFAFA"/>
        <bgColor rgb="FFFFFFFF"/>
      </patternFill>
    </fill>
    <fill>
      <patternFill patternType="solid">
        <fgColor rgb="FFF0F0F0"/>
        <bgColor rgb="FFEFEFEF"/>
      </patternFill>
    </fill>
    <fill>
      <patternFill patternType="solid">
        <fgColor rgb="FF4A7A5A"/>
        <bgColor rgb="FF4A6A7A"/>
      </patternFill>
    </fill>
    <fill>
      <patternFill patternType="solid">
        <fgColor rgb="FF4A5A7A"/>
        <bgColor rgb="FF4A6A7A"/>
      </patternFill>
    </fill>
    <fill>
      <patternFill patternType="solid">
        <fgColor rgb="FF7A4A5A"/>
        <bgColor rgb="FF7A4A4A"/>
      </patternFill>
    </fill>
    <fill>
      <patternFill patternType="solid">
        <fgColor rgb="FFE8EEF4"/>
        <bgColor rgb="FFEFEFEF"/>
      </patternFill>
    </fill>
    <fill>
      <patternFill patternType="solid">
        <fgColor rgb="FFEBF4FF"/>
        <bgColor rgb="FFF0F7FF"/>
      </patternFill>
    </fill>
    <fill>
      <patternFill patternType="solid">
        <fgColor rgb="FFF0F7FF"/>
        <bgColor rgb="FFEBF4FF"/>
      </patternFill>
    </fill>
    <fill>
      <patternFill patternType="solid">
        <fgColor rgb="FFFFF3CD"/>
        <bgColor rgb="FFFFF0D0"/>
      </patternFill>
    </fill>
    <fill>
      <patternFill patternType="solid">
        <fgColor rgb="FF5A4A7A"/>
        <bgColor rgb="FF4A5A7A"/>
      </patternFill>
    </fill>
    <fill>
      <patternFill patternType="solid">
        <fgColor rgb="FF7A4A4A"/>
        <bgColor rgb="FF7A4A5A"/>
      </patternFill>
    </fill>
    <fill>
      <patternFill patternType="solid">
        <fgColor rgb="FF4A6A7A"/>
        <bgColor rgb="FF4A5A7A"/>
      </patternFill>
    </fill>
    <fill>
      <patternFill patternType="solid">
        <fgColor rgb="FFFFF0E0"/>
        <bgColor rgb="FFFFF0D0"/>
      </patternFill>
    </fill>
    <fill>
      <patternFill patternType="solid">
        <fgColor rgb="FFEFEFEF"/>
        <bgColor rgb="FFF0F0F0"/>
      </patternFill>
    </fill>
    <fill>
      <patternFill patternType="solid">
        <fgColor rgb="FFFFF0D0"/>
        <bgColor rgb="FFFFF3CD"/>
      </patternFill>
    </fill>
    <fill>
      <patternFill patternType="solid">
        <fgColor rgb="FFFAFFF0"/>
        <bgColor rgb="FFFAFAFA"/>
      </patternFill>
    </fill>
    <fill>
      <patternFill patternType="solid">
        <fgColor rgb="FF1A3A2A"/>
        <bgColor rgb="FF1C2B3A"/>
      </patternFill>
    </fill>
    <fill>
      <patternFill patternType="solid">
        <fgColor rgb="FFE8F5E9"/>
        <bgColor rgb="FFF0F0F0"/>
      </patternFill>
    </fill>
    <fill>
      <patternFill patternType="solid">
        <fgColor rgb="FFE8E8E8"/>
        <bgColor rgb="FFE8EEF4"/>
      </patternFill>
    </fill>
    <fill>
      <patternFill patternType="solid">
        <fgColor rgb="FFD4EDDA"/>
        <bgColor rgb="FFE8E8E8"/>
      </patternFill>
    </fill>
    <fill>
      <patternFill patternType="solid">
        <fgColor rgb="FFFFE8E8"/>
        <bgColor rgb="FFFFF0E0"/>
      </patternFill>
    </fill>
    <fill>
      <patternFill patternType="solid">
        <fgColor rgb="FFE8FFE8"/>
        <bgColor rgb="FFE8F5E9"/>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5" fillId="7"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true" applyAlignment="true" applyProtection="false">
      <alignment horizontal="left" vertical="center" textRotation="0" wrapText="false" indent="0" shrinkToFit="false"/>
      <protection locked="true" hidden="false"/>
    </xf>
    <xf numFmtId="164" fontId="5" fillId="9" borderId="0"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10" borderId="0"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left"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left"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right" vertical="center" textRotation="0" wrapText="false" indent="0" shrinkToFit="false"/>
      <protection locked="true" hidden="false"/>
    </xf>
    <xf numFmtId="165" fontId="16" fillId="13" borderId="1" xfId="0" applyFont="true" applyBorder="true" applyAlignment="true" applyProtection="false">
      <alignment horizontal="center" vertical="center" textRotation="0" wrapText="fals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left" vertical="center" textRotation="0" wrapText="false" indent="0" shrinkToFit="false"/>
      <protection locked="true" hidden="false"/>
    </xf>
    <xf numFmtId="164" fontId="15" fillId="11" borderId="1" xfId="0" applyFont="true" applyBorder="true" applyAlignment="true" applyProtection="false">
      <alignment horizontal="center" vertical="center" textRotation="0" wrapText="false" indent="0" shrinkToFit="false"/>
      <protection locked="true" hidden="false"/>
    </xf>
    <xf numFmtId="164" fontId="17" fillId="12" borderId="1" xfId="0" applyFont="true" applyBorder="true" applyAlignment="true" applyProtection="false">
      <alignment horizontal="center" vertical="center" textRotation="0" wrapText="false" indent="0" shrinkToFit="false"/>
      <protection locked="true" hidden="false"/>
    </xf>
    <xf numFmtId="164" fontId="15" fillId="12" borderId="1" xfId="0" applyFont="true" applyBorder="true" applyAlignment="true" applyProtection="false">
      <alignment horizontal="left" vertical="center" textRotation="0" wrapText="false" indent="0" shrinkToFit="false"/>
      <protection locked="true" hidden="false"/>
    </xf>
    <xf numFmtId="164" fontId="15" fillId="12" borderId="1" xfId="0" applyFont="true" applyBorder="true" applyAlignment="true" applyProtection="false">
      <alignment horizontal="center" vertical="center" textRotation="0" wrapText="false" indent="0" shrinkToFit="false"/>
      <protection locked="true" hidden="false"/>
    </xf>
    <xf numFmtId="164" fontId="18" fillId="10" borderId="0" xfId="0" applyFont="true" applyBorder="true" applyAlignment="true" applyProtection="false">
      <alignment horizontal="left" vertical="center" textRotation="0" wrapText="false" indent="0" shrinkToFit="false"/>
      <protection locked="true" hidden="false"/>
    </xf>
    <xf numFmtId="164" fontId="19" fillId="2" borderId="2" xfId="0" applyFont="true" applyBorder="true" applyAlignment="true" applyProtection="false">
      <alignment horizontal="center" vertical="center" textRotation="0" wrapText="false" indent="0" shrinkToFit="false"/>
      <protection locked="true" hidden="false"/>
    </xf>
    <xf numFmtId="164" fontId="19" fillId="3" borderId="2" xfId="0" applyFont="true" applyBorder="true" applyAlignment="true" applyProtection="false">
      <alignment horizontal="center" vertical="center" textRotation="0" wrapText="false" indent="0" shrinkToFit="false"/>
      <protection locked="true" hidden="false"/>
    </xf>
    <xf numFmtId="164" fontId="19" fillId="7" borderId="2" xfId="0" applyFont="true" applyBorder="true" applyAlignment="true" applyProtection="false">
      <alignment horizontal="center" vertical="center" textRotation="0" wrapText="false" indent="0" shrinkToFit="false"/>
      <protection locked="true" hidden="false"/>
    </xf>
    <xf numFmtId="164" fontId="19" fillId="14" borderId="2" xfId="0" applyFont="true" applyBorder="true" applyAlignment="true" applyProtection="false">
      <alignment horizontal="center" vertical="center" textRotation="0" wrapText="false" indent="0" shrinkToFit="false"/>
      <protection locked="true" hidden="false"/>
    </xf>
    <xf numFmtId="164" fontId="19" fillId="15" borderId="2" xfId="0" applyFont="true" applyBorder="true" applyAlignment="true" applyProtection="false">
      <alignment horizontal="center" vertical="center" textRotation="0" wrapText="false" indent="0" shrinkToFit="false"/>
      <protection locked="true" hidden="false"/>
    </xf>
    <xf numFmtId="164" fontId="19" fillId="16" borderId="2" xfId="0" applyFont="true" applyBorder="true" applyAlignment="true" applyProtection="false">
      <alignment horizontal="center" vertical="center" textRotation="0" wrapText="false" indent="0" shrinkToFit="false"/>
      <protection locked="true" hidden="false"/>
    </xf>
    <xf numFmtId="164" fontId="11" fillId="17"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true" indent="0" shrinkToFit="false"/>
      <protection locked="true" hidden="false"/>
    </xf>
    <xf numFmtId="166" fontId="22" fillId="18" borderId="1" xfId="0" applyFont="true" applyBorder="true" applyAlignment="true" applyProtection="false">
      <alignment horizontal="center" vertical="center" textRotation="0" wrapText="false" indent="0" shrinkToFit="false"/>
      <protection locked="true" hidden="false"/>
    </xf>
    <xf numFmtId="166" fontId="12" fillId="17" borderId="1" xfId="0" applyFont="true" applyBorder="true" applyAlignment="true" applyProtection="false">
      <alignment horizontal="center" vertical="center" textRotation="0" wrapText="false" indent="0" shrinkToFit="false"/>
      <protection locked="true" hidden="false"/>
    </xf>
    <xf numFmtId="164" fontId="23" fillId="17" borderId="1" xfId="0" applyFont="true" applyBorder="true" applyAlignment="true" applyProtection="false">
      <alignment horizontal="center" vertical="center" textRotation="0" wrapText="true" indent="0" shrinkToFit="false"/>
      <protection locked="true" hidden="false"/>
    </xf>
    <xf numFmtId="164" fontId="24" fillId="17" borderId="1" xfId="0" applyFont="true" applyBorder="true" applyAlignment="true" applyProtection="false">
      <alignment horizontal="left" vertical="center" textRotation="0" wrapText="true" indent="0" shrinkToFit="false"/>
      <protection locked="true" hidden="false"/>
    </xf>
    <xf numFmtId="164" fontId="17" fillId="17"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5" fillId="17" borderId="1" xfId="0" applyFont="true" applyBorder="true" applyAlignment="true" applyProtection="false">
      <alignment horizontal="center" vertical="center" textRotation="0" wrapText="tru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15" fillId="12" borderId="1" xfId="0" applyFont="true" applyBorder="true" applyAlignment="true" applyProtection="false">
      <alignment horizontal="left" vertical="center" textRotation="0" wrapText="tru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21"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true" indent="0" shrinkToFit="false"/>
      <protection locked="true" hidden="false"/>
    </xf>
    <xf numFmtId="164" fontId="25" fillId="11" borderId="1" xfId="0" applyFont="true" applyBorder="true" applyAlignment="true" applyProtection="false">
      <alignment horizontal="center" vertical="center" textRotation="0" wrapText="true" indent="0" shrinkToFit="false"/>
      <protection locked="true" hidden="false"/>
    </xf>
    <xf numFmtId="164" fontId="27" fillId="19" borderId="1" xfId="0" applyFont="true" applyBorder="true" applyAlignment="true" applyProtection="false">
      <alignment horizontal="center" vertical="center" textRotation="0" wrapText="true" indent="0" shrinkToFit="false"/>
      <protection locked="true" hidden="false"/>
    </xf>
    <xf numFmtId="164" fontId="28" fillId="17" borderId="1" xfId="0" applyFont="true" applyBorder="true" applyAlignment="true" applyProtection="false">
      <alignment horizontal="center" vertical="center" textRotation="0" wrapText="true" indent="0" shrinkToFit="false"/>
      <protection locked="true" hidden="false"/>
    </xf>
    <xf numFmtId="164" fontId="20" fillId="18" borderId="1" xfId="0" applyFont="true" applyBorder="true" applyAlignment="true" applyProtection="false">
      <alignment horizontal="center" vertical="center" textRotation="0" wrapText="false" indent="0" shrinkToFit="false"/>
      <protection locked="true" hidden="false"/>
    </xf>
    <xf numFmtId="164" fontId="15" fillId="17" borderId="1" xfId="0" applyFont="true" applyBorder="true" applyAlignment="true" applyProtection="false">
      <alignment horizontal="left" vertical="center" textRotation="0" wrapText="true" indent="0" shrinkToFit="false"/>
      <protection locked="true" hidden="false"/>
    </xf>
    <xf numFmtId="164" fontId="15" fillId="20" borderId="1"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right" vertical="center" textRotation="0" wrapText="false" indent="0" shrinkToFit="false"/>
      <protection locked="true" hidden="false"/>
    </xf>
    <xf numFmtId="166" fontId="16" fillId="13" borderId="1" xfId="0" applyFont="true" applyBorder="true" applyAlignment="true" applyProtection="false">
      <alignment horizontal="center" vertical="center" textRotation="0" wrapText="false" indent="0" shrinkToFit="false"/>
      <protection locked="true" hidden="false"/>
    </xf>
    <xf numFmtId="164" fontId="9" fillId="21" borderId="0" xfId="0" applyFont="true" applyBorder="true" applyAlignment="true" applyProtection="false">
      <alignment horizontal="center" vertical="center" textRotation="0" wrapText="false" indent="0" shrinkToFit="false"/>
      <protection locked="true" hidden="false"/>
    </xf>
    <xf numFmtId="164" fontId="10" fillId="22" borderId="0" xfId="0" applyFont="true" applyBorder="true" applyAlignment="true" applyProtection="false">
      <alignment horizontal="left" vertical="center" textRotation="0" wrapText="false" indent="0" shrinkToFit="false"/>
      <protection locked="true" hidden="false"/>
    </xf>
    <xf numFmtId="164" fontId="11" fillId="21" borderId="1" xfId="0" applyFont="true" applyBorder="true" applyAlignment="true" applyProtection="false">
      <alignment horizontal="center"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false" indent="0" shrinkToFit="false"/>
      <protection locked="true" hidden="false"/>
    </xf>
    <xf numFmtId="164" fontId="29" fillId="6" borderId="1" xfId="0" applyFont="true" applyBorder="true" applyAlignment="true" applyProtection="false">
      <alignment horizontal="center" vertical="center" textRotation="0" wrapText="false" indent="0" shrinkToFit="false"/>
      <protection locked="true" hidden="false"/>
    </xf>
    <xf numFmtId="164" fontId="21" fillId="22" borderId="1" xfId="0" applyFont="true" applyBorder="true" applyAlignment="true" applyProtection="false">
      <alignment horizontal="left" vertical="center" textRotation="0" wrapText="false" indent="0" shrinkToFit="false"/>
      <protection locked="true" hidden="false"/>
    </xf>
    <xf numFmtId="164" fontId="21" fillId="22" borderId="1" xfId="0" applyFont="true" applyBorder="true" applyAlignment="true" applyProtection="false">
      <alignment horizontal="center" vertical="center" textRotation="0" wrapText="false" indent="0" shrinkToFit="false"/>
      <protection locked="true" hidden="false"/>
    </xf>
    <xf numFmtId="164" fontId="15" fillId="22" borderId="1" xfId="0" applyFont="true" applyBorder="true" applyAlignment="true" applyProtection="false">
      <alignment horizontal="center" vertical="center" textRotation="0" wrapText="false" indent="0" shrinkToFit="false"/>
      <protection locked="true" hidden="false"/>
    </xf>
    <xf numFmtId="164" fontId="15" fillId="22" borderId="1" xfId="0" applyFont="true" applyBorder="true" applyAlignment="true" applyProtection="false">
      <alignment horizontal="left" vertical="center" textRotation="0" wrapText="false" indent="0" shrinkToFit="false"/>
      <protection locked="true" hidden="false"/>
    </xf>
    <xf numFmtId="164" fontId="29" fillId="23" borderId="1" xfId="0" applyFont="true" applyBorder="true" applyAlignment="true" applyProtection="false">
      <alignment horizontal="left" vertical="center" textRotation="0" wrapText="false" indent="0" shrinkToFit="false"/>
      <protection locked="true" hidden="false"/>
    </xf>
    <xf numFmtId="164" fontId="29" fillId="23" borderId="1" xfId="0" applyFont="true" applyBorder="true" applyAlignment="true" applyProtection="false">
      <alignment horizontal="center" vertical="center" textRotation="0" wrapText="false" indent="0" shrinkToFit="false"/>
      <protection locked="true" hidden="false"/>
    </xf>
    <xf numFmtId="164" fontId="21" fillId="24" borderId="1" xfId="0" applyFont="true" applyBorder="true" applyAlignment="true" applyProtection="false">
      <alignment horizontal="left" vertical="center" textRotation="0" wrapText="false" indent="0" shrinkToFit="false"/>
      <protection locked="true" hidden="false"/>
    </xf>
    <xf numFmtId="164" fontId="21" fillId="24" borderId="1" xfId="0" applyFont="true" applyBorder="true" applyAlignment="true" applyProtection="false">
      <alignment horizontal="center" vertical="center" textRotation="0" wrapText="false" indent="0" shrinkToFit="false"/>
      <protection locked="true" hidden="false"/>
    </xf>
    <xf numFmtId="164" fontId="15" fillId="24" borderId="1" xfId="0" applyFont="true" applyBorder="true" applyAlignment="true" applyProtection="false">
      <alignment horizontal="center" vertical="center" textRotation="0" wrapText="false" indent="0" shrinkToFit="false"/>
      <protection locked="true" hidden="false"/>
    </xf>
    <xf numFmtId="164" fontId="15" fillId="24" borderId="1" xfId="0" applyFont="true" applyBorder="true" applyAlignment="true" applyProtection="false">
      <alignment horizontal="left" vertical="center"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22" borderId="1" xfId="0" applyFont="false" applyBorder="true" applyAlignment="false" applyProtection="false">
      <alignment horizontal="general" vertical="bottom" textRotation="0" wrapText="false" indent="0" shrinkToFit="false"/>
      <protection locked="true" hidden="false"/>
    </xf>
    <xf numFmtId="164" fontId="30" fillId="2" borderId="0" xfId="0" applyFont="true" applyBorder="true" applyAlignment="true" applyProtection="false">
      <alignment horizontal="center" vertical="center" textRotation="0" wrapText="false" indent="0" shrinkToFit="false"/>
      <protection locked="true" hidden="false"/>
    </xf>
    <xf numFmtId="164" fontId="31" fillId="11"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32" fillId="18" borderId="1" xfId="0" applyFont="true" applyBorder="true" applyAlignment="true" applyProtection="false">
      <alignment horizontal="general" vertical="center" textRotation="0" wrapText="false" indent="0" shrinkToFit="false"/>
      <protection locked="true" hidden="false"/>
    </xf>
    <xf numFmtId="164" fontId="31" fillId="13" borderId="1" xfId="0" applyFont="true" applyBorder="true" applyAlignment="true" applyProtection="false">
      <alignment horizontal="general" vertical="center" textRotation="0" wrapText="false" indent="0" shrinkToFit="false"/>
      <protection locked="true" hidden="false"/>
    </xf>
    <xf numFmtId="164" fontId="31" fillId="22" borderId="1" xfId="0" applyFont="true" applyBorder="true" applyAlignment="true" applyProtection="false">
      <alignment horizontal="general" vertical="center" textRotation="0" wrapText="false" indent="0" shrinkToFit="false"/>
      <protection locked="true" hidden="false"/>
    </xf>
    <xf numFmtId="164" fontId="27" fillId="17" borderId="1" xfId="0" applyFont="true" applyBorder="true" applyAlignment="true" applyProtection="false">
      <alignment horizontal="general" vertical="center" textRotation="0" wrapText="false" indent="0" shrinkToFit="false"/>
      <protection locked="true" hidden="false"/>
    </xf>
    <xf numFmtId="164" fontId="27" fillId="19"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5" fillId="21" borderId="1" xfId="0" applyFont="true" applyBorder="true" applyAlignment="true" applyProtection="false">
      <alignment horizontal="general" vertical="center" textRotation="0" wrapText="false" indent="0" shrinkToFit="false"/>
      <protection locked="true" hidden="false"/>
    </xf>
    <xf numFmtId="164" fontId="33" fillId="25" borderId="1" xfId="0" applyFont="true" applyBorder="true" applyAlignment="true" applyProtection="false">
      <alignment horizontal="general" vertical="center" textRotation="0" wrapText="false" indent="0" shrinkToFit="false"/>
      <protection locked="true" hidden="false"/>
    </xf>
    <xf numFmtId="164" fontId="14" fillId="26"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E74C3C"/>
      </font>
      <fill>
        <patternFill>
          <bgColor rgb="FFFFE8E8"/>
        </patternFill>
      </fill>
    </dxf>
    <dxf>
      <font>
        <b val="1"/>
        <color rgb="FF27AE60"/>
      </font>
      <fill>
        <patternFill>
          <bgColor rgb="FFE8FFE8"/>
        </patternFill>
      </fill>
    </dxf>
  </dxfs>
  <colors>
    <indexedColors>
      <rgbColor rgb="FF000000"/>
      <rgbColor rgb="FFFFFFFF"/>
      <rgbColor rgb="FFFF0000"/>
      <rgbColor rgb="FF00FF00"/>
      <rgbColor rgb="FF0000FF"/>
      <rgbColor rgb="FFFAFFF0"/>
      <rgbColor rgb="FFFF00FF"/>
      <rgbColor rgb="FF00FFFF"/>
      <rgbColor rgb="FF800000"/>
      <rgbColor rgb="FF008000"/>
      <rgbColor rgb="FF000080"/>
      <rgbColor rgb="FF555555"/>
      <rgbColor rgb="FF800080"/>
      <rgbColor rgb="FF008080"/>
      <rgbColor rgb="FFBBBBBB"/>
      <rgbColor rgb="FF4A7A5A"/>
      <rgbColor rgb="FFEBF4FF"/>
      <rgbColor rgb="FF7A4A5A"/>
      <rgbColor rgb="FFFFF3CD"/>
      <rgbColor rgb="FFE8FFE8"/>
      <rgbColor rgb="FF5A4A7A"/>
      <rgbColor rgb="FFF0F7FF"/>
      <rgbColor rgb="FF0066CC"/>
      <rgbColor rgb="FFE8E8E8"/>
      <rgbColor rgb="FF000080"/>
      <rgbColor rgb="FFFF00FF"/>
      <rgbColor rgb="FFF0F0F0"/>
      <rgbColor rgb="FF00FFFF"/>
      <rgbColor rgb="FF800080"/>
      <rgbColor rgb="FF800000"/>
      <rgbColor rgb="FF008080"/>
      <rgbColor rgb="FF0000FF"/>
      <rgbColor rgb="FF00CCFF"/>
      <rgbColor rgb="FFE8F5E9"/>
      <rgbColor rgb="FFD4EDDA"/>
      <rgbColor rgb="FFFFF0D0"/>
      <rgbColor rgb="FFE8EEF4"/>
      <rgbColor rgb="FFFFF0E0"/>
      <rgbColor rgb="FFEFEFEF"/>
      <rgbColor rgb="FFFFE8E8"/>
      <rgbColor rgb="FF4A5A7A"/>
      <rgbColor rgb="FF33CCCC"/>
      <rgbColor rgb="FFFAFAFA"/>
      <rgbColor rgb="FFF5F5F5"/>
      <rgbColor rgb="FFFF9900"/>
      <rgbColor rgb="FFE74C3C"/>
      <rgbColor rgb="FF4A6A7A"/>
      <rgbColor rgb="FFAAAAAA"/>
      <rgbColor rgb="FF1C2B3A"/>
      <rgbColor rgb="FF27AE60"/>
      <rgbColor rgb="FF444444"/>
      <rgbColor rgb="FF1A3A2A"/>
      <rgbColor rgb="FF7B4F00"/>
      <rgbColor rgb="FF7A4A4A"/>
      <rgbColor rgb="FF2E405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2"/>
    <col collapsed="false" customWidth="true" hidden="false" outlineLevel="0" max="4" min="4" style="0" width="16"/>
  </cols>
  <sheetData>
    <row r="2" customFormat="false" ht="31.5" hidden="false" customHeight="true" outlineLevel="0" collapsed="false">
      <c r="B2" s="1" t="s">
        <v>0</v>
      </c>
      <c r="C2" s="1"/>
      <c r="D2" s="1"/>
    </row>
    <row r="4" customFormat="false" ht="21.75" hidden="false" customHeight="true" outlineLevel="0" collapsed="false">
      <c r="B4" s="2" t="s">
        <v>1</v>
      </c>
      <c r="C4" s="2"/>
      <c r="D4" s="2"/>
    </row>
    <row r="5" customFormat="false" ht="19.5" hidden="false" customHeight="true" outlineLevel="0" collapsed="false">
      <c r="B5" s="3" t="s">
        <v>2</v>
      </c>
      <c r="C5" s="4" t="s">
        <v>3</v>
      </c>
      <c r="D5" s="5" t="s">
        <v>4</v>
      </c>
    </row>
    <row r="6" customFormat="false" ht="19.5" hidden="false" customHeight="true" outlineLevel="0" collapsed="false">
      <c r="B6" s="3" t="s">
        <v>5</v>
      </c>
      <c r="C6" s="4" t="s">
        <v>6</v>
      </c>
      <c r="D6" s="5" t="s">
        <v>7</v>
      </c>
    </row>
    <row r="7" customFormat="false" ht="19.5" hidden="false" customHeight="true" outlineLevel="0" collapsed="false">
      <c r="B7" s="3" t="s">
        <v>8</v>
      </c>
      <c r="C7" s="4" t="s">
        <v>9</v>
      </c>
      <c r="D7" s="5" t="s">
        <v>10</v>
      </c>
    </row>
    <row r="8" customFormat="false" ht="19.5" hidden="false" customHeight="true" outlineLevel="0" collapsed="false">
      <c r="B8" s="3" t="s">
        <v>11</v>
      </c>
      <c r="C8" s="4" t="s">
        <v>12</v>
      </c>
      <c r="D8" s="5" t="s">
        <v>13</v>
      </c>
    </row>
    <row r="9" customFormat="false" ht="19.5" hidden="false" customHeight="true" outlineLevel="0" collapsed="false">
      <c r="B9" s="3" t="s">
        <v>14</v>
      </c>
      <c r="C9" s="4" t="s">
        <v>15</v>
      </c>
      <c r="D9" s="5" t="s">
        <v>16</v>
      </c>
    </row>
    <row r="10" customFormat="false" ht="19.5" hidden="false" customHeight="true" outlineLevel="0" collapsed="false">
      <c r="B10" s="3" t="s">
        <v>17</v>
      </c>
      <c r="C10" s="4" t="s">
        <v>18</v>
      </c>
      <c r="D10" s="5" t="s">
        <v>16</v>
      </c>
    </row>
    <row r="12" customFormat="false" ht="21.75" hidden="false" customHeight="true" outlineLevel="0" collapsed="false">
      <c r="B12" s="2" t="s">
        <v>19</v>
      </c>
      <c r="C12" s="2"/>
      <c r="D12" s="2"/>
    </row>
    <row r="13" customFormat="false" ht="19.5" hidden="false" customHeight="true" outlineLevel="0" collapsed="false">
      <c r="B13" s="3" t="s">
        <v>20</v>
      </c>
      <c r="C13" s="4" t="s">
        <v>21</v>
      </c>
      <c r="D13" s="5" t="s">
        <v>22</v>
      </c>
    </row>
    <row r="14" customFormat="false" ht="19.5" hidden="false" customHeight="true" outlineLevel="0" collapsed="false">
      <c r="B14" s="3" t="s">
        <v>23</v>
      </c>
      <c r="C14" s="4" t="s">
        <v>24</v>
      </c>
      <c r="D14" s="5" t="s">
        <v>25</v>
      </c>
    </row>
    <row r="15" customFormat="false" ht="19.5" hidden="false" customHeight="true" outlineLevel="0" collapsed="false">
      <c r="B15" s="3" t="s">
        <v>26</v>
      </c>
      <c r="C15" s="4" t="s">
        <v>27</v>
      </c>
      <c r="D15" s="5" t="s">
        <v>28</v>
      </c>
    </row>
    <row r="16" customFormat="false" ht="19.5" hidden="false" customHeight="true" outlineLevel="0" collapsed="false">
      <c r="B16" s="3" t="s">
        <v>29</v>
      </c>
      <c r="C16" s="4" t="s">
        <v>30</v>
      </c>
      <c r="D16" s="5" t="s">
        <v>25</v>
      </c>
    </row>
    <row r="17" customFormat="false" ht="19.5" hidden="false" customHeight="true" outlineLevel="0" collapsed="false">
      <c r="B17" s="3" t="s">
        <v>31</v>
      </c>
      <c r="C17" s="4" t="s">
        <v>32</v>
      </c>
      <c r="D17" s="5" t="s">
        <v>33</v>
      </c>
    </row>
    <row r="20" customFormat="false" ht="21.75" hidden="false" customHeight="true" outlineLevel="0" collapsed="false">
      <c r="B20" s="6" t="s">
        <v>34</v>
      </c>
      <c r="C20" s="6"/>
      <c r="D20" s="6"/>
    </row>
    <row r="21" customFormat="false" ht="19.5" hidden="false" customHeight="true" outlineLevel="0" collapsed="false">
      <c r="B21" s="3" t="s">
        <v>35</v>
      </c>
      <c r="C21" s="4" t="s">
        <v>36</v>
      </c>
      <c r="D21" s="5" t="s">
        <v>37</v>
      </c>
    </row>
    <row r="22" customFormat="false" ht="19.5" hidden="false" customHeight="true" outlineLevel="0" collapsed="false">
      <c r="B22" s="3" t="s">
        <v>38</v>
      </c>
      <c r="C22" s="4" t="s">
        <v>39</v>
      </c>
      <c r="D22" s="5" t="s">
        <v>40</v>
      </c>
    </row>
    <row r="23" customFormat="false" ht="19.5" hidden="false" customHeight="true" outlineLevel="0" collapsed="false">
      <c r="B23" s="3" t="s">
        <v>41</v>
      </c>
      <c r="C23" s="4" t="s">
        <v>42</v>
      </c>
      <c r="D23" s="5" t="s">
        <v>43</v>
      </c>
    </row>
    <row r="24" customFormat="false" ht="19.5" hidden="false" customHeight="true" outlineLevel="0" collapsed="false">
      <c r="B24" s="3" t="s">
        <v>44</v>
      </c>
      <c r="C24" s="4" t="s">
        <v>45</v>
      </c>
      <c r="D24" s="5"/>
    </row>
    <row r="28" customFormat="false" ht="21.75" hidden="false" customHeight="true" outlineLevel="0" collapsed="false">
      <c r="B28" s="7" t="s">
        <v>46</v>
      </c>
      <c r="C28" s="7"/>
      <c r="D28" s="7"/>
    </row>
    <row r="29" customFormat="false" ht="19.5" hidden="false" customHeight="true" outlineLevel="0" collapsed="false">
      <c r="B29" s="3" t="s">
        <v>47</v>
      </c>
      <c r="C29" s="4" t="s">
        <v>48</v>
      </c>
      <c r="D29" s="5" t="s">
        <v>49</v>
      </c>
    </row>
    <row r="30" customFormat="false" ht="19.5" hidden="false" customHeight="true" outlineLevel="0" collapsed="false">
      <c r="B30" s="3" t="s">
        <v>50</v>
      </c>
      <c r="C30" s="4" t="s">
        <v>51</v>
      </c>
      <c r="D30" s="5" t="s">
        <v>52</v>
      </c>
    </row>
    <row r="31" customFormat="false" ht="19.5" hidden="false" customHeight="true" outlineLevel="0" collapsed="false">
      <c r="B31" s="3" t="s">
        <v>53</v>
      </c>
      <c r="C31" s="4" t="s">
        <v>54</v>
      </c>
      <c r="D31" s="5" t="s">
        <v>55</v>
      </c>
    </row>
    <row r="32" customFormat="false" ht="19.5" hidden="false" customHeight="true" outlineLevel="0" collapsed="false">
      <c r="B32" s="3" t="s">
        <v>56</v>
      </c>
      <c r="C32" s="4" t="s">
        <v>57</v>
      </c>
      <c r="D32" s="5" t="s">
        <v>58</v>
      </c>
    </row>
    <row r="33" customFormat="false" ht="19.5" hidden="false" customHeight="true" outlineLevel="0" collapsed="false">
      <c r="B33" s="3" t="s">
        <v>59</v>
      </c>
      <c r="C33" s="4" t="s">
        <v>60</v>
      </c>
      <c r="D33" s="5" t="s">
        <v>61</v>
      </c>
    </row>
    <row r="35" customFormat="false" ht="21.75" hidden="false" customHeight="true" outlineLevel="0" collapsed="false">
      <c r="B35" s="8" t="s">
        <v>62</v>
      </c>
      <c r="C35" s="8"/>
      <c r="D35" s="8"/>
    </row>
    <row r="36" customFormat="false" ht="19.5" hidden="false" customHeight="true" outlineLevel="0" collapsed="false">
      <c r="B36" s="3" t="s">
        <v>63</v>
      </c>
      <c r="C36" s="4" t="s">
        <v>64</v>
      </c>
      <c r="D36" s="5"/>
    </row>
    <row r="37" customFormat="false" ht="19.5" hidden="false" customHeight="true" outlineLevel="0" collapsed="false">
      <c r="B37" s="3" t="s">
        <v>65</v>
      </c>
      <c r="C37" s="4" t="s">
        <v>66</v>
      </c>
      <c r="D37" s="5"/>
    </row>
    <row r="38" customFormat="false" ht="19.5" hidden="false" customHeight="true" outlineLevel="0" collapsed="false">
      <c r="B38" s="3" t="s">
        <v>67</v>
      </c>
      <c r="C38" s="4" t="s">
        <v>68</v>
      </c>
      <c r="D38" s="5"/>
    </row>
    <row r="39" customFormat="false" ht="19.5" hidden="false" customHeight="true" outlineLevel="0" collapsed="false">
      <c r="B39" s="3" t="s">
        <v>69</v>
      </c>
      <c r="C39" s="4" t="s">
        <v>70</v>
      </c>
      <c r="D39" s="5"/>
    </row>
    <row r="40" customFormat="false" ht="19.5" hidden="false" customHeight="true" outlineLevel="0" collapsed="false">
      <c r="B40" s="3" t="s">
        <v>71</v>
      </c>
      <c r="C40" s="4" t="s">
        <v>72</v>
      </c>
      <c r="D40" s="5"/>
    </row>
    <row r="41" customFormat="false" ht="19.5" hidden="false" customHeight="true" outlineLevel="0" collapsed="false">
      <c r="B41" s="3" t="s">
        <v>73</v>
      </c>
      <c r="C41" s="4" t="s">
        <v>74</v>
      </c>
      <c r="D41" s="5"/>
    </row>
  </sheetData>
  <mergeCells count="6">
    <mergeCell ref="B2:D2"/>
    <mergeCell ref="B4:D4"/>
    <mergeCell ref="B12:D12"/>
    <mergeCell ref="B20:D20"/>
    <mergeCell ref="B28:D28"/>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6"/>
    <col collapsed="false" customWidth="true" hidden="false" outlineLevel="0" max="4" min="4" style="0" width="14"/>
    <col collapsed="false" customWidth="true" hidden="false" outlineLevel="0" max="7" min="5" style="0" width="22"/>
  </cols>
  <sheetData>
    <row r="2" customFormat="false" ht="30" hidden="false" customHeight="true" outlineLevel="0" collapsed="false">
      <c r="B2" s="9" t="s">
        <v>75</v>
      </c>
      <c r="C2" s="9"/>
      <c r="D2" s="9"/>
      <c r="E2" s="9"/>
      <c r="F2" s="9"/>
      <c r="G2" s="9"/>
    </row>
    <row r="3" customFormat="false" ht="18" hidden="false" customHeight="true" outlineLevel="0" collapsed="false">
      <c r="B3" s="10" t="s">
        <v>76</v>
      </c>
      <c r="C3" s="10"/>
      <c r="D3" s="10"/>
      <c r="E3" s="10"/>
      <c r="F3" s="10"/>
      <c r="G3" s="10"/>
    </row>
    <row r="4" customFormat="false" ht="36" hidden="false" customHeight="true" outlineLevel="0" collapsed="false">
      <c r="B4" s="11" t="s">
        <v>77</v>
      </c>
      <c r="C4" s="11" t="s">
        <v>78</v>
      </c>
      <c r="D4" s="11" t="s">
        <v>79</v>
      </c>
      <c r="E4" s="11" t="s">
        <v>80</v>
      </c>
      <c r="F4" s="11" t="s">
        <v>81</v>
      </c>
      <c r="G4" s="11" t="s">
        <v>82</v>
      </c>
    </row>
    <row r="5" customFormat="false" ht="18" hidden="false" customHeight="true" outlineLevel="0" collapsed="false">
      <c r="B5" s="12" t="s">
        <v>83</v>
      </c>
      <c r="C5" s="13" t="s">
        <v>84</v>
      </c>
      <c r="D5" s="14" t="n">
        <v>15</v>
      </c>
      <c r="E5" s="15" t="s">
        <v>85</v>
      </c>
      <c r="F5" s="15" t="s">
        <v>86</v>
      </c>
      <c r="G5" s="13"/>
    </row>
    <row r="6" customFormat="false" ht="18" hidden="false" customHeight="true" outlineLevel="0" collapsed="false">
      <c r="B6" s="16" t="s">
        <v>87</v>
      </c>
      <c r="C6" s="17" t="s">
        <v>88</v>
      </c>
      <c r="D6" s="18" t="n">
        <v>35</v>
      </c>
      <c r="E6" s="19" t="s">
        <v>89</v>
      </c>
      <c r="F6" s="19" t="s">
        <v>90</v>
      </c>
      <c r="G6" s="17"/>
    </row>
    <row r="7" customFormat="false" ht="18" hidden="false" customHeight="true" outlineLevel="0" collapsed="false">
      <c r="B7" s="12" t="s">
        <v>91</v>
      </c>
      <c r="C7" s="13" t="s">
        <v>92</v>
      </c>
      <c r="D7" s="14" t="n">
        <v>25</v>
      </c>
      <c r="E7" s="15" t="s">
        <v>93</v>
      </c>
      <c r="F7" s="15" t="s">
        <v>94</v>
      </c>
      <c r="G7" s="13"/>
    </row>
    <row r="8" customFormat="false" ht="18" hidden="false" customHeight="true" outlineLevel="0" collapsed="false">
      <c r="B8" s="16" t="s">
        <v>95</v>
      </c>
      <c r="C8" s="17" t="s">
        <v>96</v>
      </c>
      <c r="D8" s="18" t="n">
        <v>15</v>
      </c>
      <c r="E8" s="19" t="s">
        <v>97</v>
      </c>
      <c r="F8" s="19" t="s">
        <v>98</v>
      </c>
      <c r="G8" s="17"/>
    </row>
    <row r="9" customFormat="false" ht="18" hidden="false" customHeight="true" outlineLevel="0" collapsed="false">
      <c r="B9" s="12" t="s">
        <v>99</v>
      </c>
      <c r="C9" s="13" t="s">
        <v>100</v>
      </c>
      <c r="D9" s="14" t="n">
        <v>10</v>
      </c>
      <c r="E9" s="15" t="s">
        <v>101</v>
      </c>
      <c r="F9" s="15" t="s">
        <v>102</v>
      </c>
      <c r="G9" s="13"/>
    </row>
    <row r="10" customFormat="false" ht="18" hidden="false" customHeight="true" outlineLevel="0" collapsed="false">
      <c r="B10" s="20"/>
      <c r="C10" s="20"/>
      <c r="D10" s="20"/>
      <c r="E10" s="20"/>
      <c r="F10" s="20"/>
      <c r="G10" s="20"/>
    </row>
    <row r="11" customFormat="false" ht="18" hidden="false" customHeight="true" outlineLevel="0" collapsed="false">
      <c r="B11" s="20"/>
      <c r="C11" s="20"/>
      <c r="D11" s="20"/>
      <c r="E11" s="20"/>
      <c r="F11" s="20"/>
      <c r="G11" s="20"/>
    </row>
    <row r="12" customFormat="false" ht="18" hidden="false" customHeight="true" outlineLevel="0" collapsed="false">
      <c r="B12" s="20"/>
      <c r="C12" s="20"/>
      <c r="D12" s="20"/>
      <c r="E12" s="20"/>
      <c r="F12" s="20"/>
      <c r="G12" s="20"/>
    </row>
    <row r="13" customFormat="false" ht="18" hidden="false" customHeight="true" outlineLevel="0" collapsed="false">
      <c r="B13" s="20"/>
      <c r="C13" s="20"/>
      <c r="D13" s="20"/>
      <c r="E13" s="20"/>
      <c r="F13" s="20"/>
      <c r="G13" s="20"/>
    </row>
    <row r="14" customFormat="false" ht="18" hidden="false" customHeight="true" outlineLevel="0" collapsed="false">
      <c r="B14" s="20"/>
      <c r="C14" s="20"/>
      <c r="D14" s="20"/>
      <c r="E14" s="20"/>
      <c r="F14" s="20"/>
      <c r="G14" s="20"/>
    </row>
    <row r="15" customFormat="false" ht="18" hidden="false" customHeight="true" outlineLevel="0" collapsed="false">
      <c r="B15" s="20"/>
      <c r="C15" s="20"/>
      <c r="D15" s="20"/>
      <c r="E15" s="20"/>
      <c r="F15" s="20"/>
      <c r="G15" s="20"/>
    </row>
    <row r="16" customFormat="false" ht="18" hidden="false" customHeight="true" outlineLevel="0" collapsed="false">
      <c r="B16" s="20"/>
      <c r="C16" s="20"/>
      <c r="D16" s="20"/>
      <c r="E16" s="20"/>
      <c r="F16" s="20"/>
      <c r="G16" s="20"/>
    </row>
    <row r="17" customFormat="false" ht="18" hidden="false" customHeight="true" outlineLevel="0" collapsed="false">
      <c r="B17" s="20"/>
      <c r="C17" s="20"/>
      <c r="D17" s="20"/>
      <c r="E17" s="20"/>
      <c r="F17" s="20"/>
      <c r="G17" s="20"/>
    </row>
    <row r="18" customFormat="false" ht="18" hidden="false" customHeight="true" outlineLevel="0" collapsed="false">
      <c r="B18" s="20"/>
      <c r="C18" s="20"/>
      <c r="D18" s="20"/>
      <c r="E18" s="20"/>
      <c r="F18" s="20"/>
      <c r="G18" s="20"/>
    </row>
    <row r="19" customFormat="false" ht="18" hidden="false" customHeight="true" outlineLevel="0" collapsed="false">
      <c r="B19" s="20"/>
      <c r="C19" s="20"/>
      <c r="D19" s="20"/>
      <c r="E19" s="20"/>
      <c r="F19" s="20"/>
      <c r="G19" s="20"/>
    </row>
    <row r="20" customFormat="false" ht="21.75" hidden="false" customHeight="true" outlineLevel="0" collapsed="false">
      <c r="B20" s="21" t="s">
        <v>103</v>
      </c>
      <c r="C20" s="21"/>
      <c r="D20" s="22" t="n">
        <f aca="false">SUM(D5:D19)</f>
        <v>100</v>
      </c>
    </row>
  </sheetData>
  <mergeCells count="3">
    <mergeCell ref="B2:G2"/>
    <mergeCell ref="B3:G3"/>
    <mergeCell ref="B20:C20"/>
  </mergeCells>
  <conditionalFormatting sqref="D20">
    <cfRule type="cellIs" priority="2" operator="notEqual" aboveAverage="0" equalAverage="0" bottom="0" percent="0" rank="0" text="" dxfId="0">
      <formula>100</formula>
    </cfRule>
    <cfRule type="cellIs" priority="3" operator="equal" aboveAverage="0" equalAverage="0" bottom="0" percent="0" rank="0" text="" dxfId="1">
      <formula>100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8"/>
    <col collapsed="false" customWidth="true" hidden="false" outlineLevel="0" max="4" min="4" style="0" width="22"/>
    <col collapsed="false" customWidth="true" hidden="false" outlineLevel="0" max="5" min="5" style="0" width="16"/>
    <col collapsed="false" customWidth="true" hidden="false" outlineLevel="0" max="6" min="6" style="0" width="18"/>
    <col collapsed="false" customWidth="true" hidden="false" outlineLevel="0" max="7" min="7" style="0" width="20"/>
  </cols>
  <sheetData>
    <row r="2" customFormat="false" ht="30" hidden="false" customHeight="true" outlineLevel="0" collapsed="false">
      <c r="B2" s="9" t="s">
        <v>104</v>
      </c>
      <c r="C2" s="9"/>
      <c r="D2" s="9"/>
      <c r="E2" s="9"/>
      <c r="F2" s="9"/>
      <c r="G2" s="9"/>
    </row>
    <row r="3" customFormat="false" ht="18" hidden="false" customHeight="true" outlineLevel="0" collapsed="false">
      <c r="B3" s="10" t="s">
        <v>105</v>
      </c>
      <c r="C3" s="10"/>
      <c r="D3" s="10"/>
      <c r="E3" s="10"/>
      <c r="F3" s="10"/>
      <c r="G3" s="10"/>
    </row>
    <row r="4" customFormat="false" ht="36" hidden="false" customHeight="true" outlineLevel="0" collapsed="false">
      <c r="B4" s="11" t="s">
        <v>106</v>
      </c>
      <c r="C4" s="11" t="s">
        <v>107</v>
      </c>
      <c r="D4" s="11" t="s">
        <v>108</v>
      </c>
      <c r="E4" s="11" t="s">
        <v>109</v>
      </c>
      <c r="F4" s="11" t="s">
        <v>110</v>
      </c>
      <c r="G4" s="11" t="s">
        <v>111</v>
      </c>
    </row>
    <row r="5" customFormat="false" ht="18" hidden="false" customHeight="true" outlineLevel="0" collapsed="false">
      <c r="B5" s="23" t="s">
        <v>112</v>
      </c>
      <c r="C5" s="24" t="s">
        <v>113</v>
      </c>
      <c r="D5" s="24" t="s">
        <v>114</v>
      </c>
      <c r="E5" s="24" t="s">
        <v>115</v>
      </c>
      <c r="F5" s="25" t="n">
        <v>6</v>
      </c>
      <c r="G5" s="25"/>
    </row>
    <row r="6" customFormat="false" ht="18" hidden="false" customHeight="true" outlineLevel="0" collapsed="false">
      <c r="B6" s="26" t="s">
        <v>116</v>
      </c>
      <c r="C6" s="27" t="s">
        <v>117</v>
      </c>
      <c r="D6" s="27" t="s">
        <v>114</v>
      </c>
      <c r="E6" s="27" t="s">
        <v>118</v>
      </c>
      <c r="F6" s="28" t="n">
        <v>5</v>
      </c>
      <c r="G6" s="28"/>
    </row>
    <row r="7" customFormat="false" ht="18" hidden="false" customHeight="true" outlineLevel="0" collapsed="false">
      <c r="B7" s="23" t="s">
        <v>119</v>
      </c>
      <c r="C7" s="24" t="s">
        <v>120</v>
      </c>
      <c r="D7" s="24" t="s">
        <v>114</v>
      </c>
      <c r="E7" s="24" t="s">
        <v>121</v>
      </c>
      <c r="F7" s="25" t="n">
        <v>4</v>
      </c>
      <c r="G7" s="25"/>
    </row>
    <row r="8" customFormat="false" ht="18" hidden="false" customHeight="true" outlineLevel="0" collapsed="false">
      <c r="B8" s="26" t="s">
        <v>122</v>
      </c>
      <c r="C8" s="27" t="s">
        <v>123</v>
      </c>
      <c r="D8" s="27" t="s">
        <v>124</v>
      </c>
      <c r="E8" s="27" t="s">
        <v>125</v>
      </c>
      <c r="F8" s="28" t="n">
        <v>3</v>
      </c>
      <c r="G8" s="28"/>
    </row>
    <row r="9" customFormat="false" ht="18" hidden="false" customHeight="true" outlineLevel="0" collapsed="false">
      <c r="B9" s="23" t="s">
        <v>126</v>
      </c>
      <c r="C9" s="24" t="s">
        <v>127</v>
      </c>
      <c r="D9" s="24" t="s">
        <v>124</v>
      </c>
      <c r="E9" s="24" t="s">
        <v>128</v>
      </c>
      <c r="F9" s="25" t="n">
        <v>2</v>
      </c>
      <c r="G9" s="25"/>
    </row>
    <row r="10" customFormat="false" ht="18" hidden="false" customHeight="true" outlineLevel="0" collapsed="false">
      <c r="B10" s="20"/>
      <c r="C10" s="20"/>
      <c r="D10" s="20"/>
      <c r="E10" s="20"/>
      <c r="F10" s="20"/>
      <c r="G10" s="20"/>
    </row>
    <row r="11" customFormat="false" ht="18" hidden="false" customHeight="true" outlineLevel="0" collapsed="false">
      <c r="B11" s="20"/>
      <c r="C11" s="20"/>
      <c r="D11" s="20"/>
      <c r="E11" s="20"/>
      <c r="F11" s="20"/>
      <c r="G11" s="20"/>
    </row>
    <row r="12" customFormat="false" ht="18" hidden="false" customHeight="true" outlineLevel="0" collapsed="false">
      <c r="B12" s="20"/>
      <c r="C12" s="20"/>
      <c r="D12" s="20"/>
      <c r="E12" s="20"/>
      <c r="F12" s="20"/>
      <c r="G12" s="20"/>
    </row>
    <row r="13" customFormat="false" ht="18" hidden="false" customHeight="true" outlineLevel="0" collapsed="false">
      <c r="B13" s="20"/>
      <c r="C13" s="20"/>
      <c r="D13" s="20"/>
      <c r="E13" s="20"/>
      <c r="F13" s="20"/>
      <c r="G13" s="20"/>
    </row>
    <row r="14" customFormat="false" ht="18" hidden="false" customHeight="true" outlineLevel="0" collapsed="false">
      <c r="B14" s="20"/>
      <c r="C14" s="20"/>
      <c r="D14" s="20"/>
      <c r="E14" s="20"/>
      <c r="F14" s="20"/>
      <c r="G14" s="20"/>
    </row>
    <row r="15" customFormat="false" ht="18" hidden="false" customHeight="true" outlineLevel="0" collapsed="false">
      <c r="B15" s="20"/>
      <c r="C15" s="20"/>
      <c r="D15" s="20"/>
      <c r="E15" s="20"/>
      <c r="F15" s="20"/>
      <c r="G15" s="20"/>
    </row>
    <row r="16" customFormat="false" ht="18" hidden="false" customHeight="true" outlineLevel="0" collapsed="false">
      <c r="B16" s="20"/>
      <c r="C16" s="20"/>
      <c r="D16" s="20"/>
      <c r="E16" s="20"/>
      <c r="F16" s="20"/>
      <c r="G16" s="20"/>
    </row>
    <row r="17" customFormat="false" ht="18" hidden="false" customHeight="true" outlineLevel="0" collapsed="false">
      <c r="B17" s="20"/>
      <c r="C17" s="20"/>
      <c r="D17" s="20"/>
      <c r="E17" s="20"/>
      <c r="F17" s="20"/>
      <c r="G17" s="20"/>
    </row>
    <row r="18" customFormat="false" ht="18" hidden="false" customHeight="true" outlineLevel="0" collapsed="false">
      <c r="B18" s="20"/>
      <c r="C18" s="20"/>
      <c r="D18" s="20"/>
      <c r="E18" s="20"/>
      <c r="F18" s="20"/>
      <c r="G18" s="20"/>
    </row>
    <row r="19" customFormat="false" ht="18" hidden="false" customHeight="true" outlineLevel="0" collapsed="false">
      <c r="B19" s="20"/>
      <c r="C19" s="20"/>
      <c r="D19" s="20"/>
      <c r="E19" s="20"/>
      <c r="F19" s="20"/>
      <c r="G19" s="20"/>
    </row>
    <row r="20" customFormat="false" ht="18" hidden="false" customHeight="true" outlineLevel="0" collapsed="false">
      <c r="B20" s="20"/>
      <c r="C20" s="20"/>
      <c r="D20" s="20"/>
      <c r="E20" s="20"/>
      <c r="F20" s="20"/>
      <c r="G20" s="20"/>
    </row>
    <row r="21" customFormat="false" ht="18" hidden="false" customHeight="true" outlineLevel="0" collapsed="false">
      <c r="B21" s="20"/>
      <c r="C21" s="20"/>
      <c r="D21" s="20"/>
      <c r="E21" s="20"/>
      <c r="F21" s="20"/>
      <c r="G21" s="20"/>
    </row>
    <row r="22" customFormat="false" ht="18" hidden="false" customHeight="true" outlineLevel="0" collapsed="false">
      <c r="B22" s="20"/>
      <c r="C22" s="20"/>
      <c r="D22" s="20"/>
      <c r="E22" s="20"/>
      <c r="F22" s="20"/>
      <c r="G22" s="20"/>
    </row>
    <row r="23" customFormat="false" ht="18" hidden="false" customHeight="true" outlineLevel="0" collapsed="false">
      <c r="B23" s="20"/>
      <c r="C23" s="20"/>
      <c r="D23" s="20"/>
      <c r="E23" s="20"/>
      <c r="F23" s="20"/>
      <c r="G23" s="20"/>
    </row>
    <row r="24" customFormat="false" ht="18" hidden="false" customHeight="true" outlineLevel="0" collapsed="false">
      <c r="B24" s="20"/>
      <c r="C24" s="20"/>
      <c r="D24" s="20"/>
      <c r="E24" s="20"/>
      <c r="F24" s="20"/>
      <c r="G24" s="20"/>
    </row>
  </sheetData>
  <mergeCells count="2">
    <mergeCell ref="B2:G2"/>
    <mergeCell ref="B3:G3"/>
  </mergeCells>
  <dataValidations count="1">
    <dataValidation allowBlank="false" error="Tipo inválido" errorStyle="stop" operator="between" showDropDown="false" showErrorMessage="false" showInputMessage="false" sqref="D5:D100" type="list">
      <formula1>"CUADRILLA PROPIA,SUBCONTRATISTA,PROVEEDOR SERVICIO"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0"/>
    <col collapsed="false" customWidth="true" hidden="false" outlineLevel="0" max="4" min="4" style="0" width="30"/>
    <col collapsed="false" customWidth="true" hidden="false" outlineLevel="0" max="6" min="5" style="0" width="16"/>
    <col collapsed="false" customWidth="true" hidden="false" outlineLevel="0" max="7" min="7" style="0" width="12"/>
    <col collapsed="false" customWidth="true" hidden="false" outlineLevel="0" max="9" min="8" style="0" width="13"/>
    <col collapsed="false" customWidth="true" hidden="false" outlineLevel="0" max="10" min="10" style="0" width="16"/>
    <col collapsed="false" customWidth="true" hidden="false" outlineLevel="0" max="11" min="11" style="0" width="28"/>
    <col collapsed="false" customWidth="true" hidden="false" outlineLevel="0" max="12" min="12" style="0" width="13"/>
    <col collapsed="false" customWidth="true" hidden="false" outlineLevel="0" max="13" min="13" style="0" width="22"/>
    <col collapsed="false" customWidth="true" hidden="false" outlineLevel="0" max="14" min="14" style="0" width="16"/>
    <col collapsed="false" customWidth="true" hidden="false" outlineLevel="0" max="15" min="15" style="0" width="12"/>
    <col collapsed="false" customWidth="true" hidden="false" outlineLevel="0" max="16" min="16" style="0" width="28"/>
  </cols>
  <sheetData>
    <row r="1" customFormat="false" ht="30" hidden="false" customHeight="true" outlineLevel="0" collapsed="false">
      <c r="A1" s="9" t="s">
        <v>129</v>
      </c>
      <c r="B1" s="9"/>
      <c r="C1" s="9"/>
      <c r="D1" s="9"/>
      <c r="E1" s="9"/>
      <c r="F1" s="9"/>
      <c r="G1" s="9"/>
      <c r="H1" s="9"/>
      <c r="I1" s="9"/>
      <c r="J1" s="9"/>
      <c r="K1" s="9"/>
      <c r="L1" s="9"/>
      <c r="M1" s="9"/>
      <c r="N1" s="9"/>
      <c r="O1" s="9"/>
      <c r="P1" s="9"/>
    </row>
    <row r="2" customFormat="false" ht="18" hidden="false" customHeight="true" outlineLevel="0" collapsed="false">
      <c r="A2" s="29" t="s">
        <v>130</v>
      </c>
      <c r="B2" s="29"/>
      <c r="C2" s="29"/>
      <c r="D2" s="29"/>
      <c r="E2" s="29"/>
      <c r="F2" s="29"/>
      <c r="G2" s="29"/>
      <c r="H2" s="29"/>
      <c r="I2" s="29"/>
      <c r="J2" s="29"/>
      <c r="K2" s="29"/>
      <c r="L2" s="29"/>
      <c r="M2" s="29"/>
      <c r="N2" s="29"/>
      <c r="O2" s="29"/>
      <c r="P2" s="29"/>
    </row>
    <row r="3" customFormat="false" ht="19.5" hidden="false" customHeight="true" outlineLevel="0" collapsed="false">
      <c r="A3" s="30" t="s">
        <v>131</v>
      </c>
      <c r="B3" s="30"/>
      <c r="C3" s="30"/>
      <c r="D3" s="30"/>
      <c r="E3" s="31" t="s">
        <v>132</v>
      </c>
      <c r="F3" s="31"/>
      <c r="G3" s="31"/>
      <c r="H3" s="32" t="s">
        <v>133</v>
      </c>
      <c r="I3" s="32"/>
      <c r="J3" s="33" t="s">
        <v>134</v>
      </c>
      <c r="K3" s="33"/>
      <c r="L3" s="34" t="s">
        <v>135</v>
      </c>
      <c r="M3" s="34"/>
      <c r="N3" s="35" t="s">
        <v>136</v>
      </c>
      <c r="O3" s="35"/>
      <c r="P3" s="35"/>
    </row>
    <row r="4" customFormat="false" ht="39.75" hidden="false" customHeight="true" outlineLevel="0" collapsed="false">
      <c r="A4" s="11" t="s">
        <v>137</v>
      </c>
      <c r="B4" s="11" t="s">
        <v>138</v>
      </c>
      <c r="C4" s="11" t="s">
        <v>139</v>
      </c>
      <c r="D4" s="11" t="s">
        <v>140</v>
      </c>
      <c r="E4" s="11" t="s">
        <v>141</v>
      </c>
      <c r="F4" s="11" t="s">
        <v>142</v>
      </c>
      <c r="G4" s="11" t="s">
        <v>143</v>
      </c>
      <c r="H4" s="11" t="s">
        <v>144</v>
      </c>
      <c r="I4" s="36" t="s">
        <v>145</v>
      </c>
      <c r="J4" s="36" t="s">
        <v>146</v>
      </c>
      <c r="K4" s="36" t="s">
        <v>147</v>
      </c>
      <c r="L4" s="11" t="s">
        <v>148</v>
      </c>
      <c r="M4" s="36" t="s">
        <v>149</v>
      </c>
      <c r="N4" s="11" t="s">
        <v>150</v>
      </c>
      <c r="O4" s="36" t="s">
        <v>151</v>
      </c>
      <c r="P4" s="11" t="s">
        <v>82</v>
      </c>
    </row>
    <row r="5" customFormat="false" ht="19.5" hidden="false" customHeight="true" outlineLevel="0" collapsed="false">
      <c r="A5" s="20" t="s">
        <v>152</v>
      </c>
      <c r="B5" s="20" t="s">
        <v>84</v>
      </c>
      <c r="C5" s="37" t="n">
        <v>100</v>
      </c>
      <c r="D5" s="20" t="s">
        <v>153</v>
      </c>
      <c r="E5" s="38" t="s">
        <v>154</v>
      </c>
      <c r="F5" s="39" t="n">
        <v>0</v>
      </c>
      <c r="G5" s="40" t="n">
        <v>40</v>
      </c>
      <c r="H5" s="41" t="n">
        <f aca="false">ROUND(G5/SUM($G$5:$G$200)*100,1)</f>
        <v>25</v>
      </c>
      <c r="I5" s="42" t="n">
        <f aca="false">H5</f>
        <v>25</v>
      </c>
      <c r="J5" s="43" t="s">
        <v>155</v>
      </c>
      <c r="K5" s="44" t="s">
        <v>156</v>
      </c>
      <c r="L5" s="39" t="n">
        <v>0</v>
      </c>
      <c r="M5" s="45" t="s">
        <v>112</v>
      </c>
      <c r="N5" s="46" t="s">
        <v>85</v>
      </c>
      <c r="O5" s="47" t="s">
        <v>157</v>
      </c>
      <c r="P5" s="48" t="s">
        <v>158</v>
      </c>
    </row>
    <row r="6" customFormat="false" ht="19.5" hidden="false" customHeight="true" outlineLevel="0" collapsed="false">
      <c r="A6" s="49" t="s">
        <v>152</v>
      </c>
      <c r="B6" s="49" t="s">
        <v>84</v>
      </c>
      <c r="C6" s="50" t="n">
        <v>200</v>
      </c>
      <c r="D6" s="49" t="s">
        <v>159</v>
      </c>
      <c r="E6" s="51" t="s">
        <v>160</v>
      </c>
      <c r="F6" s="51" t="n">
        <v>0</v>
      </c>
      <c r="G6" s="52" t="n">
        <v>32</v>
      </c>
      <c r="H6" s="41" t="n">
        <f aca="false">ROUND(G6/SUM($G$5:$G$200)*100,1)</f>
        <v>20</v>
      </c>
      <c r="I6" s="42" t="n">
        <f aca="false">H6</f>
        <v>20</v>
      </c>
      <c r="J6" s="45" t="s">
        <v>161</v>
      </c>
      <c r="K6" s="44" t="s">
        <v>162</v>
      </c>
      <c r="L6" s="53" t="n">
        <v>3</v>
      </c>
      <c r="M6" s="45" t="s">
        <v>112</v>
      </c>
      <c r="N6" s="54" t="s">
        <v>163</v>
      </c>
      <c r="O6" s="47" t="s">
        <v>157</v>
      </c>
      <c r="P6" s="48"/>
    </row>
    <row r="7" customFormat="false" ht="19.5" hidden="false" customHeight="true" outlineLevel="0" collapsed="false">
      <c r="A7" s="20" t="s">
        <v>152</v>
      </c>
      <c r="B7" s="20" t="s">
        <v>84</v>
      </c>
      <c r="C7" s="37" t="n">
        <v>300</v>
      </c>
      <c r="D7" s="20" t="s">
        <v>164</v>
      </c>
      <c r="E7" s="39" t="s">
        <v>165</v>
      </c>
      <c r="F7" s="39" t="n">
        <v>24</v>
      </c>
      <c r="G7" s="40" t="n">
        <v>16</v>
      </c>
      <c r="H7" s="41" t="n">
        <f aca="false">ROUND(G7/SUM($G$5:$G$200)*100,1)</f>
        <v>10</v>
      </c>
      <c r="I7" s="42" t="n">
        <f aca="false">H7</f>
        <v>10</v>
      </c>
      <c r="J7" s="43" t="s">
        <v>155</v>
      </c>
      <c r="K7" s="44" t="s">
        <v>166</v>
      </c>
      <c r="L7" s="55" t="n">
        <v>2</v>
      </c>
      <c r="M7" s="45" t="s">
        <v>112</v>
      </c>
      <c r="N7" s="54" t="s">
        <v>163</v>
      </c>
      <c r="O7" s="47" t="s">
        <v>157</v>
      </c>
      <c r="P7" s="48" t="s">
        <v>167</v>
      </c>
    </row>
    <row r="8" customFormat="false" ht="19.5" hidden="false" customHeight="true" outlineLevel="0" collapsed="false">
      <c r="A8" s="49" t="s">
        <v>152</v>
      </c>
      <c r="B8" s="49" t="s">
        <v>84</v>
      </c>
      <c r="C8" s="50" t="n">
        <v>400</v>
      </c>
      <c r="D8" s="49" t="s">
        <v>168</v>
      </c>
      <c r="E8" s="56" t="s">
        <v>169</v>
      </c>
      <c r="F8" s="51" t="n">
        <v>0</v>
      </c>
      <c r="G8" s="52" t="n">
        <v>20</v>
      </c>
      <c r="H8" s="41" t="n">
        <f aca="false">ROUND(G8/SUM($G$5:$G$200)*100,1)</f>
        <v>12.5</v>
      </c>
      <c r="I8" s="42" t="n">
        <f aca="false">H8</f>
        <v>12.5</v>
      </c>
      <c r="J8" s="45" t="s">
        <v>161</v>
      </c>
      <c r="K8" s="44" t="s">
        <v>170</v>
      </c>
      <c r="L8" s="53" t="n">
        <v>4</v>
      </c>
      <c r="M8" s="45" t="s">
        <v>126</v>
      </c>
      <c r="N8" s="54" t="s">
        <v>163</v>
      </c>
      <c r="O8" s="47" t="s">
        <v>157</v>
      </c>
      <c r="P8" s="48" t="s">
        <v>171</v>
      </c>
    </row>
    <row r="9" customFormat="false" ht="19.5" hidden="false" customHeight="true" outlineLevel="0" collapsed="false">
      <c r="A9" s="20" t="s">
        <v>152</v>
      </c>
      <c r="B9" s="20" t="s">
        <v>88</v>
      </c>
      <c r="C9" s="37" t="n">
        <v>500</v>
      </c>
      <c r="D9" s="20" t="s">
        <v>172</v>
      </c>
      <c r="E9" s="39" t="s">
        <v>173</v>
      </c>
      <c r="F9" s="39" t="n">
        <v>72</v>
      </c>
      <c r="G9" s="40" t="n">
        <v>24</v>
      </c>
      <c r="H9" s="41" t="n">
        <f aca="false">ROUND(G9/SUM($G$5:$G$200)*100,1)</f>
        <v>15</v>
      </c>
      <c r="I9" s="42" t="n">
        <f aca="false">H9</f>
        <v>15</v>
      </c>
      <c r="J9" s="57" t="s">
        <v>174</v>
      </c>
      <c r="K9" s="44" t="s">
        <v>175</v>
      </c>
      <c r="L9" s="55" t="n">
        <v>2</v>
      </c>
      <c r="M9" s="45" t="s">
        <v>116</v>
      </c>
      <c r="N9" s="54" t="s">
        <v>163</v>
      </c>
      <c r="O9" s="47" t="s">
        <v>157</v>
      </c>
      <c r="P9" s="48" t="s">
        <v>176</v>
      </c>
    </row>
    <row r="10" customFormat="false" ht="19.5" hidden="false" customHeight="true" outlineLevel="0" collapsed="false">
      <c r="A10" s="49" t="s">
        <v>152</v>
      </c>
      <c r="B10" s="49" t="s">
        <v>88</v>
      </c>
      <c r="C10" s="50" t="n">
        <v>600</v>
      </c>
      <c r="D10" s="49" t="s">
        <v>177</v>
      </c>
      <c r="E10" s="51" t="s">
        <v>178</v>
      </c>
      <c r="F10" s="51" t="n">
        <v>0</v>
      </c>
      <c r="G10" s="52" t="n">
        <v>20</v>
      </c>
      <c r="H10" s="41" t="n">
        <f aca="false">ROUND(G10/SUM($G$5:$G$200)*100,1)</f>
        <v>12.5</v>
      </c>
      <c r="I10" s="42" t="n">
        <f aca="false">H10</f>
        <v>12.5</v>
      </c>
      <c r="J10" s="45" t="s">
        <v>161</v>
      </c>
      <c r="K10" s="44" t="s">
        <v>179</v>
      </c>
      <c r="L10" s="53" t="n">
        <v>3</v>
      </c>
      <c r="M10" s="45" t="s">
        <v>119</v>
      </c>
      <c r="N10" s="54" t="s">
        <v>163</v>
      </c>
      <c r="O10" s="47" t="s">
        <v>157</v>
      </c>
      <c r="P10" s="48"/>
    </row>
    <row r="11" customFormat="false" ht="19.5" hidden="false" customHeight="true" outlineLevel="0" collapsed="false">
      <c r="A11" s="20" t="s">
        <v>152</v>
      </c>
      <c r="B11" s="20" t="s">
        <v>88</v>
      </c>
      <c r="C11" s="37" t="n">
        <v>700</v>
      </c>
      <c r="D11" s="20" t="s">
        <v>180</v>
      </c>
      <c r="E11" s="39" t="s">
        <v>181</v>
      </c>
      <c r="F11" s="39" t="n">
        <v>0</v>
      </c>
      <c r="G11" s="40" t="n">
        <v>8</v>
      </c>
      <c r="H11" s="41" t="n">
        <f aca="false">ROUND(G11/SUM($G$5:$G$200)*100,1)</f>
        <v>5</v>
      </c>
      <c r="I11" s="42" t="n">
        <f aca="false">H11</f>
        <v>5</v>
      </c>
      <c r="J11" s="43" t="s">
        <v>155</v>
      </c>
      <c r="K11" s="44" t="s">
        <v>182</v>
      </c>
      <c r="L11" s="55" t="n">
        <v>2</v>
      </c>
      <c r="M11" s="45" t="s">
        <v>112</v>
      </c>
      <c r="N11" s="54" t="s">
        <v>163</v>
      </c>
      <c r="O11" s="47" t="s">
        <v>157</v>
      </c>
      <c r="P11" s="48"/>
    </row>
    <row r="12" customFormat="false" ht="18" hidden="false" customHeight="true" outlineLevel="0" collapsed="false">
      <c r="A12" s="20"/>
      <c r="B12" s="20"/>
      <c r="C12" s="20"/>
      <c r="D12" s="20"/>
      <c r="E12" s="20"/>
      <c r="F12" s="20"/>
      <c r="G12" s="20"/>
      <c r="H12" s="58" t="str">
        <f aca="false">IF(G12&gt;0,ROUND(G12/SUM($G$5:$G$200)*100,1),"")</f>
        <v/>
      </c>
      <c r="I12" s="59"/>
      <c r="J12" s="59"/>
      <c r="K12" s="20"/>
      <c r="L12" s="20"/>
      <c r="M12" s="59"/>
      <c r="N12" s="60"/>
      <c r="O12" s="59"/>
      <c r="P12" s="20"/>
    </row>
    <row r="13" customFormat="false" ht="18" hidden="false" customHeight="true" outlineLevel="0" collapsed="false">
      <c r="A13" s="20"/>
      <c r="B13" s="20"/>
      <c r="C13" s="20"/>
      <c r="D13" s="20"/>
      <c r="E13" s="20"/>
      <c r="F13" s="20"/>
      <c r="G13" s="20"/>
      <c r="H13" s="58" t="str">
        <f aca="false">IF(G13&gt;0,ROUND(G13/SUM($G$5:$G$200)*100,1),"")</f>
        <v/>
      </c>
      <c r="I13" s="59"/>
      <c r="J13" s="59"/>
      <c r="K13" s="20"/>
      <c r="L13" s="20"/>
      <c r="M13" s="59"/>
      <c r="N13" s="60"/>
      <c r="O13" s="59"/>
      <c r="P13" s="20"/>
    </row>
    <row r="14" customFormat="false" ht="18" hidden="false" customHeight="true" outlineLevel="0" collapsed="false">
      <c r="A14" s="20"/>
      <c r="B14" s="20"/>
      <c r="C14" s="20"/>
      <c r="D14" s="20"/>
      <c r="E14" s="20"/>
      <c r="F14" s="20"/>
      <c r="G14" s="20"/>
      <c r="H14" s="58" t="str">
        <f aca="false">IF(G14&gt;0,ROUND(G14/SUM($G$5:$G$200)*100,1),"")</f>
        <v/>
      </c>
      <c r="I14" s="59"/>
      <c r="J14" s="59"/>
      <c r="K14" s="20"/>
      <c r="L14" s="20"/>
      <c r="M14" s="59"/>
      <c r="N14" s="60"/>
      <c r="O14" s="59"/>
      <c r="P14" s="20"/>
    </row>
    <row r="15" customFormat="false" ht="18" hidden="false" customHeight="true" outlineLevel="0" collapsed="false">
      <c r="A15" s="20"/>
      <c r="B15" s="20"/>
      <c r="C15" s="20"/>
      <c r="D15" s="20"/>
      <c r="E15" s="20"/>
      <c r="F15" s="20"/>
      <c r="G15" s="20"/>
      <c r="H15" s="58" t="str">
        <f aca="false">IF(G15&gt;0,ROUND(G15/SUM($G$5:$G$200)*100,1),"")</f>
        <v/>
      </c>
      <c r="I15" s="59"/>
      <c r="J15" s="59"/>
      <c r="K15" s="20"/>
      <c r="L15" s="20"/>
      <c r="M15" s="59"/>
      <c r="N15" s="60"/>
      <c r="O15" s="59"/>
      <c r="P15" s="20"/>
    </row>
    <row r="16" customFormat="false" ht="18" hidden="false" customHeight="true" outlineLevel="0" collapsed="false">
      <c r="A16" s="20"/>
      <c r="B16" s="20"/>
      <c r="C16" s="20"/>
      <c r="D16" s="20"/>
      <c r="E16" s="20"/>
      <c r="F16" s="20"/>
      <c r="G16" s="20"/>
      <c r="H16" s="58" t="str">
        <f aca="false">IF(G16&gt;0,ROUND(G16/SUM($G$5:$G$200)*100,1),"")</f>
        <v/>
      </c>
      <c r="I16" s="59"/>
      <c r="J16" s="59"/>
      <c r="K16" s="20"/>
      <c r="L16" s="20"/>
      <c r="M16" s="59"/>
      <c r="N16" s="60"/>
      <c r="O16" s="59"/>
      <c r="P16" s="20"/>
    </row>
    <row r="17" customFormat="false" ht="18" hidden="false" customHeight="true" outlineLevel="0" collapsed="false">
      <c r="A17" s="20"/>
      <c r="B17" s="20"/>
      <c r="C17" s="20"/>
      <c r="D17" s="20"/>
      <c r="E17" s="20"/>
      <c r="F17" s="20"/>
      <c r="G17" s="20"/>
      <c r="H17" s="58" t="str">
        <f aca="false">IF(G17&gt;0,ROUND(G17/SUM($G$5:$G$200)*100,1),"")</f>
        <v/>
      </c>
      <c r="I17" s="59"/>
      <c r="J17" s="59"/>
      <c r="K17" s="20"/>
      <c r="L17" s="20"/>
      <c r="M17" s="59"/>
      <c r="N17" s="60"/>
      <c r="O17" s="59"/>
      <c r="P17" s="20"/>
    </row>
    <row r="18" customFormat="false" ht="18" hidden="false" customHeight="true" outlineLevel="0" collapsed="false">
      <c r="A18" s="20"/>
      <c r="B18" s="20"/>
      <c r="C18" s="20"/>
      <c r="D18" s="20"/>
      <c r="E18" s="20"/>
      <c r="F18" s="20"/>
      <c r="G18" s="20"/>
      <c r="H18" s="58" t="str">
        <f aca="false">IF(G18&gt;0,ROUND(G18/SUM($G$5:$G$200)*100,1),"")</f>
        <v/>
      </c>
      <c r="I18" s="59"/>
      <c r="J18" s="59"/>
      <c r="K18" s="20"/>
      <c r="L18" s="20"/>
      <c r="M18" s="59"/>
      <c r="N18" s="60"/>
      <c r="O18" s="59"/>
      <c r="P18" s="20"/>
    </row>
    <row r="19" customFormat="false" ht="18" hidden="false" customHeight="true" outlineLevel="0" collapsed="false">
      <c r="A19" s="20"/>
      <c r="B19" s="20"/>
      <c r="C19" s="20"/>
      <c r="D19" s="20"/>
      <c r="E19" s="20"/>
      <c r="F19" s="20"/>
      <c r="G19" s="20"/>
      <c r="H19" s="58" t="str">
        <f aca="false">IF(G19&gt;0,ROUND(G19/SUM($G$5:$G$200)*100,1),"")</f>
        <v/>
      </c>
      <c r="I19" s="59"/>
      <c r="J19" s="59"/>
      <c r="K19" s="20"/>
      <c r="L19" s="20"/>
      <c r="M19" s="59"/>
      <c r="N19" s="60"/>
      <c r="O19" s="59"/>
      <c r="P19" s="20"/>
    </row>
    <row r="20" customFormat="false" ht="18" hidden="false" customHeight="true" outlineLevel="0" collapsed="false">
      <c r="A20" s="20"/>
      <c r="B20" s="20"/>
      <c r="C20" s="20"/>
      <c r="D20" s="20"/>
      <c r="E20" s="20"/>
      <c r="F20" s="20"/>
      <c r="G20" s="20"/>
      <c r="H20" s="58" t="str">
        <f aca="false">IF(G20&gt;0,ROUND(G20/SUM($G$5:$G$200)*100,1),"")</f>
        <v/>
      </c>
      <c r="I20" s="59"/>
      <c r="J20" s="59"/>
      <c r="K20" s="20"/>
      <c r="L20" s="20"/>
      <c r="M20" s="59"/>
      <c r="N20" s="60"/>
      <c r="O20" s="59"/>
      <c r="P20" s="20"/>
    </row>
    <row r="21" customFormat="false" ht="18" hidden="false" customHeight="true" outlineLevel="0" collapsed="false">
      <c r="A21" s="20"/>
      <c r="B21" s="20"/>
      <c r="C21" s="20"/>
      <c r="D21" s="20"/>
      <c r="E21" s="20"/>
      <c r="F21" s="20"/>
      <c r="G21" s="20"/>
      <c r="H21" s="58" t="str">
        <f aca="false">IF(G21&gt;0,ROUND(G21/SUM($G$5:$G$200)*100,1),"")</f>
        <v/>
      </c>
      <c r="I21" s="59"/>
      <c r="J21" s="59"/>
      <c r="K21" s="20"/>
      <c r="L21" s="20"/>
      <c r="M21" s="59"/>
      <c r="N21" s="60"/>
      <c r="O21" s="59"/>
      <c r="P21" s="20"/>
    </row>
    <row r="22" customFormat="false" ht="18" hidden="false" customHeight="true" outlineLevel="0" collapsed="false">
      <c r="A22" s="20"/>
      <c r="B22" s="20"/>
      <c r="C22" s="20"/>
      <c r="D22" s="20"/>
      <c r="E22" s="20"/>
      <c r="F22" s="20"/>
      <c r="G22" s="20"/>
      <c r="H22" s="58" t="str">
        <f aca="false">IF(G22&gt;0,ROUND(G22/SUM($G$5:$G$200)*100,1),"")</f>
        <v/>
      </c>
      <c r="I22" s="59"/>
      <c r="J22" s="59"/>
      <c r="K22" s="20"/>
      <c r="L22" s="20"/>
      <c r="M22" s="59"/>
      <c r="N22" s="60"/>
      <c r="O22" s="59"/>
      <c r="P22" s="20"/>
    </row>
    <row r="23" customFormat="false" ht="18" hidden="false" customHeight="true" outlineLevel="0" collapsed="false">
      <c r="A23" s="20"/>
      <c r="B23" s="20"/>
      <c r="C23" s="20"/>
      <c r="D23" s="20"/>
      <c r="E23" s="20"/>
      <c r="F23" s="20"/>
      <c r="G23" s="20"/>
      <c r="H23" s="58" t="str">
        <f aca="false">IF(G23&gt;0,ROUND(G23/SUM($G$5:$G$200)*100,1),"")</f>
        <v/>
      </c>
      <c r="I23" s="59"/>
      <c r="J23" s="59"/>
      <c r="K23" s="20"/>
      <c r="L23" s="20"/>
      <c r="M23" s="59"/>
      <c r="N23" s="60"/>
      <c r="O23" s="59"/>
      <c r="P23" s="20"/>
    </row>
    <row r="24" customFormat="false" ht="18" hidden="false" customHeight="true" outlineLevel="0" collapsed="false">
      <c r="A24" s="20"/>
      <c r="B24" s="20"/>
      <c r="C24" s="20"/>
      <c r="D24" s="20"/>
      <c r="E24" s="20"/>
      <c r="F24" s="20"/>
      <c r="G24" s="20"/>
      <c r="H24" s="58" t="str">
        <f aca="false">IF(G24&gt;0,ROUND(G24/SUM($G$5:$G$200)*100,1),"")</f>
        <v/>
      </c>
      <c r="I24" s="59"/>
      <c r="J24" s="59"/>
      <c r="K24" s="20"/>
      <c r="L24" s="20"/>
      <c r="M24" s="59"/>
      <c r="N24" s="60"/>
      <c r="O24" s="59"/>
      <c r="P24" s="20"/>
    </row>
    <row r="25" customFormat="false" ht="18" hidden="false" customHeight="true" outlineLevel="0" collapsed="false">
      <c r="A25" s="20"/>
      <c r="B25" s="20"/>
      <c r="C25" s="20"/>
      <c r="D25" s="20"/>
      <c r="E25" s="20"/>
      <c r="F25" s="20"/>
      <c r="G25" s="20"/>
      <c r="H25" s="58" t="str">
        <f aca="false">IF(G25&gt;0,ROUND(G25/SUM($G$5:$G$200)*100,1),"")</f>
        <v/>
      </c>
      <c r="I25" s="59"/>
      <c r="J25" s="59"/>
      <c r="K25" s="20"/>
      <c r="L25" s="20"/>
      <c r="M25" s="59"/>
      <c r="N25" s="60"/>
      <c r="O25" s="59"/>
      <c r="P25" s="20"/>
    </row>
    <row r="26" customFormat="false" ht="18" hidden="false" customHeight="true" outlineLevel="0" collapsed="false">
      <c r="A26" s="20"/>
      <c r="B26" s="20"/>
      <c r="C26" s="20"/>
      <c r="D26" s="20"/>
      <c r="E26" s="20"/>
      <c r="F26" s="20"/>
      <c r="G26" s="20"/>
      <c r="H26" s="58" t="str">
        <f aca="false">IF(G26&gt;0,ROUND(G26/SUM($G$5:$G$200)*100,1),"")</f>
        <v/>
      </c>
      <c r="I26" s="59"/>
      <c r="J26" s="59"/>
      <c r="K26" s="20"/>
      <c r="L26" s="20"/>
      <c r="M26" s="59"/>
      <c r="N26" s="60"/>
      <c r="O26" s="59"/>
      <c r="P26" s="20"/>
    </row>
    <row r="27" customFormat="false" ht="18" hidden="false" customHeight="true" outlineLevel="0" collapsed="false">
      <c r="A27" s="20"/>
      <c r="B27" s="20"/>
      <c r="C27" s="20"/>
      <c r="D27" s="20"/>
      <c r="E27" s="20"/>
      <c r="F27" s="20"/>
      <c r="G27" s="20"/>
      <c r="H27" s="58" t="str">
        <f aca="false">IF(G27&gt;0,ROUND(G27/SUM($G$5:$G$200)*100,1),"")</f>
        <v/>
      </c>
      <c r="I27" s="59"/>
      <c r="J27" s="59"/>
      <c r="K27" s="20"/>
      <c r="L27" s="20"/>
      <c r="M27" s="59"/>
      <c r="N27" s="60"/>
      <c r="O27" s="59"/>
      <c r="P27" s="20"/>
    </row>
    <row r="28" customFormat="false" ht="18" hidden="false" customHeight="true" outlineLevel="0" collapsed="false">
      <c r="A28" s="20"/>
      <c r="B28" s="20"/>
      <c r="C28" s="20"/>
      <c r="D28" s="20"/>
      <c r="E28" s="20"/>
      <c r="F28" s="20"/>
      <c r="G28" s="20"/>
      <c r="H28" s="58" t="str">
        <f aca="false">IF(G28&gt;0,ROUND(G28/SUM($G$5:$G$200)*100,1),"")</f>
        <v/>
      </c>
      <c r="I28" s="59"/>
      <c r="J28" s="59"/>
      <c r="K28" s="20"/>
      <c r="L28" s="20"/>
      <c r="M28" s="59"/>
      <c r="N28" s="60"/>
      <c r="O28" s="59"/>
      <c r="P28" s="20"/>
    </row>
    <row r="29" customFormat="false" ht="18" hidden="false" customHeight="true" outlineLevel="0" collapsed="false">
      <c r="A29" s="20"/>
      <c r="B29" s="20"/>
      <c r="C29" s="20"/>
      <c r="D29" s="20"/>
      <c r="E29" s="20"/>
      <c r="F29" s="20"/>
      <c r="G29" s="20"/>
      <c r="H29" s="58" t="str">
        <f aca="false">IF(G29&gt;0,ROUND(G29/SUM($G$5:$G$200)*100,1),"")</f>
        <v/>
      </c>
      <c r="I29" s="59"/>
      <c r="J29" s="59"/>
      <c r="K29" s="20"/>
      <c r="L29" s="20"/>
      <c r="M29" s="59"/>
      <c r="N29" s="60"/>
      <c r="O29" s="59"/>
      <c r="P29" s="20"/>
    </row>
    <row r="30" customFormat="false" ht="18" hidden="false" customHeight="true" outlineLevel="0" collapsed="false">
      <c r="A30" s="20"/>
      <c r="B30" s="20"/>
      <c r="C30" s="20"/>
      <c r="D30" s="20"/>
      <c r="E30" s="20"/>
      <c r="F30" s="20"/>
      <c r="G30" s="20"/>
      <c r="H30" s="58" t="str">
        <f aca="false">IF(G30&gt;0,ROUND(G30/SUM($G$5:$G$200)*100,1),"")</f>
        <v/>
      </c>
      <c r="I30" s="59"/>
      <c r="J30" s="59"/>
      <c r="K30" s="20"/>
      <c r="L30" s="20"/>
      <c r="M30" s="59"/>
      <c r="N30" s="60"/>
      <c r="O30" s="59"/>
      <c r="P30" s="20"/>
    </row>
    <row r="31" customFormat="false" ht="18" hidden="false" customHeight="true" outlineLevel="0" collapsed="false">
      <c r="A31" s="20"/>
      <c r="B31" s="20"/>
      <c r="C31" s="20"/>
      <c r="D31" s="20"/>
      <c r="E31" s="20"/>
      <c r="F31" s="20"/>
      <c r="G31" s="20"/>
      <c r="H31" s="58" t="str">
        <f aca="false">IF(G31&gt;0,ROUND(G31/SUM($G$5:$G$200)*100,1),"")</f>
        <v/>
      </c>
      <c r="I31" s="59"/>
      <c r="J31" s="59"/>
      <c r="K31" s="20"/>
      <c r="L31" s="20"/>
      <c r="M31" s="59"/>
      <c r="N31" s="60"/>
      <c r="O31" s="59"/>
      <c r="P31" s="20"/>
    </row>
    <row r="35" customFormat="false" ht="21.75" hidden="false" customHeight="true" outlineLevel="0" collapsed="false">
      <c r="A35" s="61" t="s">
        <v>183</v>
      </c>
      <c r="B35" s="61"/>
      <c r="C35" s="61"/>
      <c r="D35" s="61"/>
      <c r="E35" s="61"/>
      <c r="F35" s="61"/>
      <c r="G35" s="61"/>
      <c r="H35" s="61"/>
      <c r="I35" s="62" t="n">
        <f aca="false">ROUND(SUM(I5:I34),1)</f>
        <v>100</v>
      </c>
    </row>
  </sheetData>
  <mergeCells count="9">
    <mergeCell ref="A1:P1"/>
    <mergeCell ref="A2:P2"/>
    <mergeCell ref="A3:D3"/>
    <mergeCell ref="E3:G3"/>
    <mergeCell ref="H3:I3"/>
    <mergeCell ref="J3:K3"/>
    <mergeCell ref="L3:M3"/>
    <mergeCell ref="N3:P3"/>
    <mergeCell ref="A35:H35"/>
  </mergeCells>
  <conditionalFormatting sqref="I35">
    <cfRule type="cellIs" priority="2" operator="notEqual" aboveAverage="0" equalAverage="0" bottom="0" percent="0" rank="0" text="" dxfId="0">
      <formula>100</formula>
    </cfRule>
    <cfRule type="cellIs" priority="3" operator="equal" aboveAverage="0" equalAverage="0" bottom="0" percent="0" rank="0" text="" dxfId="1">
      <formula>100</formula>
    </cfRule>
  </conditionalFormatting>
  <dataValidations count="3">
    <dataValidation allowBlank="false" errorStyle="stop" operator="between" showDropDown="false" showErrorMessage="false" showInputMessage="false" sqref="L5:L200" type="whole">
      <formula1>0</formula1>
      <formula2>50</formula2>
    </dataValidation>
    <dataValidation allowBlank="false" errorStyle="stop" operator="greaterThan" showDropDown="false" showErrorMessage="false" showInputMessage="false" sqref="G5:G200" type="decimal">
      <formula1>0</formula1>
      <formula2>0</formula2>
    </dataValidation>
    <dataValidation allowBlank="false" error="Elegí: PORCENTAJE, CANTIDAD o BINARIO" errorStyle="stop" operator="between" showDropDown="false" showErrorMessage="false" showInputMessage="false" sqref="J5:J200" type="list">
      <formula1>"PORCENTAJE,CANTIDAD,BINARIO"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30"/>
    <col collapsed="false" customWidth="true" hidden="false" outlineLevel="0" max="4" min="4" style="0" width="12"/>
    <col collapsed="false" customWidth="true" hidden="false" outlineLevel="0" max="5" min="5" style="0" width="22"/>
    <col collapsed="false" customWidth="true" hidden="false" outlineLevel="0" max="6" min="6" style="0" width="16"/>
    <col collapsed="false" customWidth="true" hidden="false" outlineLevel="0" max="7" min="7" style="0" width="12"/>
    <col collapsed="false" customWidth="true" hidden="false" outlineLevel="0" max="8" min="8" style="0" width="22"/>
  </cols>
  <sheetData>
    <row r="1" customFormat="false" ht="30" hidden="false" customHeight="true" outlineLevel="0" collapsed="false">
      <c r="A1" s="63" t="s">
        <v>184</v>
      </c>
      <c r="B1" s="63"/>
      <c r="C1" s="63"/>
      <c r="D1" s="63"/>
      <c r="E1" s="63"/>
      <c r="F1" s="63"/>
      <c r="G1" s="63"/>
      <c r="H1" s="63"/>
    </row>
    <row r="2" customFormat="false" ht="18" hidden="false" customHeight="true" outlineLevel="0" collapsed="false">
      <c r="A2" s="64" t="s">
        <v>185</v>
      </c>
      <c r="B2" s="64"/>
      <c r="C2" s="64"/>
      <c r="D2" s="64"/>
      <c r="E2" s="64"/>
      <c r="F2" s="64"/>
      <c r="G2" s="64"/>
      <c r="H2" s="64"/>
    </row>
    <row r="3" customFormat="false" ht="36" hidden="false" customHeight="true" outlineLevel="0" collapsed="false">
      <c r="A3" s="11" t="s">
        <v>137</v>
      </c>
      <c r="B3" s="11" t="s">
        <v>186</v>
      </c>
      <c r="C3" s="11" t="s">
        <v>140</v>
      </c>
      <c r="D3" s="11" t="s">
        <v>187</v>
      </c>
      <c r="E3" s="65" t="s">
        <v>188</v>
      </c>
      <c r="F3" s="65" t="s">
        <v>189</v>
      </c>
      <c r="G3" s="65" t="s">
        <v>190</v>
      </c>
      <c r="H3" s="65" t="s">
        <v>191</v>
      </c>
    </row>
    <row r="4" customFormat="false" ht="16.5" hidden="false" customHeight="true" outlineLevel="0" collapsed="false">
      <c r="A4" s="66" t="s">
        <v>152</v>
      </c>
      <c r="B4" s="67" t="n">
        <v>200</v>
      </c>
      <c r="C4" s="66" t="s">
        <v>159</v>
      </c>
      <c r="D4" s="67" t="n">
        <v>1</v>
      </c>
      <c r="E4" s="68" t="s">
        <v>192</v>
      </c>
      <c r="F4" s="69" t="s">
        <v>193</v>
      </c>
      <c r="G4" s="70" t="s">
        <v>194</v>
      </c>
      <c r="H4" s="71" t="s">
        <v>195</v>
      </c>
    </row>
    <row r="5" customFormat="false" ht="16.5" hidden="false" customHeight="true" outlineLevel="0" collapsed="false">
      <c r="A5" s="72" t="s">
        <v>152</v>
      </c>
      <c r="B5" s="73" t="n">
        <v>200</v>
      </c>
      <c r="C5" s="72" t="s">
        <v>159</v>
      </c>
      <c r="D5" s="73" t="n">
        <v>2</v>
      </c>
      <c r="E5" s="74" t="s">
        <v>196</v>
      </c>
      <c r="F5" s="75" t="s">
        <v>197</v>
      </c>
      <c r="G5" s="76" t="s">
        <v>194</v>
      </c>
      <c r="H5" s="77" t="s">
        <v>198</v>
      </c>
    </row>
    <row r="6" customFormat="false" ht="16.5" hidden="false" customHeight="true" outlineLevel="0" collapsed="false">
      <c r="A6" s="66" t="s">
        <v>152</v>
      </c>
      <c r="B6" s="67" t="n">
        <v>200</v>
      </c>
      <c r="C6" s="66" t="s">
        <v>159</v>
      </c>
      <c r="D6" s="67" t="n">
        <v>3</v>
      </c>
      <c r="E6" s="68" t="s">
        <v>199</v>
      </c>
      <c r="F6" s="69" t="s">
        <v>200</v>
      </c>
      <c r="G6" s="70" t="s">
        <v>201</v>
      </c>
      <c r="H6" s="71" t="s">
        <v>202</v>
      </c>
    </row>
    <row r="7" customFormat="false" ht="16.5" hidden="false" customHeight="true" outlineLevel="0" collapsed="false">
      <c r="A7" s="72" t="s">
        <v>152</v>
      </c>
      <c r="B7" s="73" t="n">
        <v>300</v>
      </c>
      <c r="C7" s="72" t="s">
        <v>164</v>
      </c>
      <c r="D7" s="73" t="n">
        <v>1</v>
      </c>
      <c r="E7" s="74" t="s">
        <v>203</v>
      </c>
      <c r="F7" s="75" t="s">
        <v>204</v>
      </c>
      <c r="G7" s="76" t="s">
        <v>205</v>
      </c>
      <c r="H7" s="77" t="s">
        <v>206</v>
      </c>
    </row>
    <row r="8" customFormat="false" ht="16.5" hidden="false" customHeight="true" outlineLevel="0" collapsed="false">
      <c r="A8" s="66" t="s">
        <v>152</v>
      </c>
      <c r="B8" s="67" t="n">
        <v>300</v>
      </c>
      <c r="C8" s="66" t="s">
        <v>164</v>
      </c>
      <c r="D8" s="67" t="n">
        <v>2</v>
      </c>
      <c r="E8" s="68" t="s">
        <v>199</v>
      </c>
      <c r="F8" s="69" t="s">
        <v>207</v>
      </c>
      <c r="G8" s="70" t="s">
        <v>201</v>
      </c>
      <c r="H8" s="71" t="s">
        <v>202</v>
      </c>
    </row>
    <row r="9" customFormat="false" ht="16.5" hidden="false" customHeight="true" outlineLevel="0" collapsed="false">
      <c r="A9" s="72" t="s">
        <v>152</v>
      </c>
      <c r="B9" s="73" t="n">
        <v>400</v>
      </c>
      <c r="C9" s="72" t="s">
        <v>168</v>
      </c>
      <c r="D9" s="73" t="n">
        <v>1</v>
      </c>
      <c r="E9" s="74" t="s">
        <v>208</v>
      </c>
      <c r="F9" s="75" t="s">
        <v>209</v>
      </c>
      <c r="G9" s="76" t="s">
        <v>210</v>
      </c>
      <c r="H9" s="77" t="s">
        <v>211</v>
      </c>
    </row>
    <row r="10" customFormat="false" ht="16.5" hidden="false" customHeight="true" outlineLevel="0" collapsed="false">
      <c r="A10" s="66" t="s">
        <v>152</v>
      </c>
      <c r="B10" s="67" t="n">
        <v>400</v>
      </c>
      <c r="C10" s="66" t="s">
        <v>168</v>
      </c>
      <c r="D10" s="67" t="n">
        <v>2</v>
      </c>
      <c r="E10" s="68" t="s">
        <v>212</v>
      </c>
      <c r="F10" s="69" t="s">
        <v>213</v>
      </c>
      <c r="G10" s="70" t="s">
        <v>214</v>
      </c>
      <c r="H10" s="71" t="s">
        <v>215</v>
      </c>
    </row>
    <row r="11" customFormat="false" ht="16.5" hidden="false" customHeight="true" outlineLevel="0" collapsed="false">
      <c r="A11" s="72" t="s">
        <v>152</v>
      </c>
      <c r="B11" s="73" t="n">
        <v>400</v>
      </c>
      <c r="C11" s="72" t="s">
        <v>168</v>
      </c>
      <c r="D11" s="73" t="n">
        <v>3</v>
      </c>
      <c r="E11" s="74" t="s">
        <v>216</v>
      </c>
      <c r="F11" s="75" t="s">
        <v>217</v>
      </c>
      <c r="G11" s="76" t="s">
        <v>214</v>
      </c>
      <c r="H11" s="77" t="s">
        <v>218</v>
      </c>
    </row>
    <row r="12" customFormat="false" ht="16.5" hidden="false" customHeight="true" outlineLevel="0" collapsed="false">
      <c r="A12" s="66" t="s">
        <v>152</v>
      </c>
      <c r="B12" s="67" t="n">
        <v>400</v>
      </c>
      <c r="C12" s="66" t="s">
        <v>168</v>
      </c>
      <c r="D12" s="67" t="n">
        <v>4</v>
      </c>
      <c r="E12" s="68" t="s">
        <v>219</v>
      </c>
      <c r="F12" s="69" t="s">
        <v>220</v>
      </c>
      <c r="G12" s="70" t="s">
        <v>214</v>
      </c>
      <c r="H12" s="71" t="s">
        <v>221</v>
      </c>
    </row>
    <row r="13" customFormat="false" ht="16.5" hidden="false" customHeight="true" outlineLevel="0" collapsed="false">
      <c r="A13" s="72" t="s">
        <v>152</v>
      </c>
      <c r="B13" s="73" t="n">
        <v>500</v>
      </c>
      <c r="C13" s="72" t="s">
        <v>172</v>
      </c>
      <c r="D13" s="73" t="n">
        <v>1</v>
      </c>
      <c r="E13" s="74" t="s">
        <v>222</v>
      </c>
      <c r="F13" s="75" t="s">
        <v>223</v>
      </c>
      <c r="G13" s="76" t="s">
        <v>224</v>
      </c>
      <c r="H13" s="77" t="s">
        <v>225</v>
      </c>
    </row>
    <row r="14" customFormat="false" ht="16.5" hidden="false" customHeight="true" outlineLevel="0" collapsed="false">
      <c r="A14" s="66" t="s">
        <v>152</v>
      </c>
      <c r="B14" s="67" t="n">
        <v>500</v>
      </c>
      <c r="C14" s="66" t="s">
        <v>172</v>
      </c>
      <c r="D14" s="67" t="n">
        <v>2</v>
      </c>
      <c r="E14" s="68" t="s">
        <v>226</v>
      </c>
      <c r="F14" s="69" t="s">
        <v>227</v>
      </c>
      <c r="G14" s="70" t="s">
        <v>194</v>
      </c>
      <c r="H14" s="71" t="s">
        <v>228</v>
      </c>
    </row>
    <row r="15" customFormat="false" ht="16.5" hidden="false" customHeight="true" outlineLevel="0" collapsed="false">
      <c r="A15" s="72" t="s">
        <v>152</v>
      </c>
      <c r="B15" s="73" t="n">
        <v>600</v>
      </c>
      <c r="C15" s="72" t="s">
        <v>177</v>
      </c>
      <c r="D15" s="73" t="n">
        <v>1</v>
      </c>
      <c r="E15" s="74" t="s">
        <v>192</v>
      </c>
      <c r="F15" s="75" t="s">
        <v>229</v>
      </c>
      <c r="G15" s="76" t="s">
        <v>194</v>
      </c>
      <c r="H15" s="77" t="s">
        <v>195</v>
      </c>
    </row>
    <row r="16" customFormat="false" ht="16.5" hidden="false" customHeight="true" outlineLevel="0" collapsed="false">
      <c r="A16" s="66" t="s">
        <v>152</v>
      </c>
      <c r="B16" s="67" t="n">
        <v>600</v>
      </c>
      <c r="C16" s="66" t="s">
        <v>177</v>
      </c>
      <c r="D16" s="67" t="n">
        <v>2</v>
      </c>
      <c r="E16" s="68" t="s">
        <v>230</v>
      </c>
      <c r="F16" s="69" t="s">
        <v>231</v>
      </c>
      <c r="G16" s="70" t="s">
        <v>194</v>
      </c>
      <c r="H16" s="71" t="s">
        <v>232</v>
      </c>
    </row>
    <row r="17" customFormat="false" ht="16.5" hidden="false" customHeight="true" outlineLevel="0" collapsed="false">
      <c r="A17" s="72" t="s">
        <v>152</v>
      </c>
      <c r="B17" s="73" t="n">
        <v>600</v>
      </c>
      <c r="C17" s="72" t="s">
        <v>177</v>
      </c>
      <c r="D17" s="73" t="n">
        <v>3</v>
      </c>
      <c r="E17" s="74" t="s">
        <v>196</v>
      </c>
      <c r="F17" s="75" t="s">
        <v>233</v>
      </c>
      <c r="G17" s="76" t="s">
        <v>194</v>
      </c>
      <c r="H17" s="77" t="s">
        <v>198</v>
      </c>
    </row>
    <row r="18" customFormat="false" ht="16.5" hidden="false" customHeight="true" outlineLevel="0" collapsed="false">
      <c r="A18" s="66" t="s">
        <v>152</v>
      </c>
      <c r="B18" s="67" t="n">
        <v>700</v>
      </c>
      <c r="C18" s="66" t="s">
        <v>180</v>
      </c>
      <c r="D18" s="67" t="n">
        <v>1</v>
      </c>
      <c r="E18" s="68" t="s">
        <v>203</v>
      </c>
      <c r="F18" s="69" t="s">
        <v>234</v>
      </c>
      <c r="G18" s="70" t="s">
        <v>205</v>
      </c>
      <c r="H18" s="71" t="s">
        <v>206</v>
      </c>
    </row>
    <row r="19" customFormat="false" ht="16.5" hidden="false" customHeight="true" outlineLevel="0" collapsed="false">
      <c r="A19" s="72" t="s">
        <v>152</v>
      </c>
      <c r="B19" s="73" t="n">
        <v>700</v>
      </c>
      <c r="C19" s="72" t="s">
        <v>180</v>
      </c>
      <c r="D19" s="73" t="n">
        <v>2</v>
      </c>
      <c r="E19" s="74" t="s">
        <v>199</v>
      </c>
      <c r="F19" s="75" t="s">
        <v>235</v>
      </c>
      <c r="G19" s="76" t="s">
        <v>201</v>
      </c>
      <c r="H19" s="77" t="s">
        <v>202</v>
      </c>
    </row>
    <row r="20" customFormat="false" ht="16.5" hidden="false" customHeight="true" outlineLevel="0" collapsed="false">
      <c r="A20" s="78"/>
      <c r="B20" s="78"/>
      <c r="C20" s="78"/>
      <c r="D20" s="78"/>
      <c r="E20" s="79"/>
      <c r="F20" s="79"/>
      <c r="G20" s="79"/>
      <c r="H20" s="79"/>
    </row>
    <row r="21" customFormat="false" ht="16.5" hidden="false" customHeight="true" outlineLevel="0" collapsed="false">
      <c r="A21" s="78"/>
      <c r="B21" s="78"/>
      <c r="C21" s="78"/>
      <c r="D21" s="78"/>
      <c r="E21" s="79"/>
      <c r="F21" s="79"/>
      <c r="G21" s="79"/>
      <c r="H21" s="79"/>
    </row>
    <row r="22" customFormat="false" ht="16.5" hidden="false" customHeight="true" outlineLevel="0" collapsed="false">
      <c r="A22" s="78"/>
      <c r="B22" s="78"/>
      <c r="C22" s="78"/>
      <c r="D22" s="78"/>
      <c r="E22" s="79"/>
      <c r="F22" s="79"/>
      <c r="G22" s="79"/>
      <c r="H22" s="79"/>
    </row>
    <row r="23" customFormat="false" ht="16.5" hidden="false" customHeight="true" outlineLevel="0" collapsed="false">
      <c r="A23" s="78"/>
      <c r="B23" s="78"/>
      <c r="C23" s="78"/>
      <c r="D23" s="78"/>
      <c r="E23" s="79"/>
      <c r="F23" s="79"/>
      <c r="G23" s="79"/>
      <c r="H23" s="79"/>
    </row>
    <row r="24" customFormat="false" ht="16.5" hidden="false" customHeight="true" outlineLevel="0" collapsed="false">
      <c r="A24" s="78"/>
      <c r="B24" s="78"/>
      <c r="C24" s="78"/>
      <c r="D24" s="78"/>
      <c r="E24" s="79"/>
      <c r="F24" s="79"/>
      <c r="G24" s="79"/>
      <c r="H24" s="79"/>
    </row>
    <row r="25" customFormat="false" ht="16.5" hidden="false" customHeight="true" outlineLevel="0" collapsed="false">
      <c r="A25" s="78"/>
      <c r="B25" s="78"/>
      <c r="C25" s="78"/>
      <c r="D25" s="78"/>
      <c r="E25" s="79"/>
      <c r="F25" s="79"/>
      <c r="G25" s="79"/>
      <c r="H25" s="79"/>
    </row>
    <row r="26" customFormat="false" ht="16.5" hidden="false" customHeight="true" outlineLevel="0" collapsed="false">
      <c r="A26" s="78"/>
      <c r="B26" s="78"/>
      <c r="C26" s="78"/>
      <c r="D26" s="78"/>
      <c r="E26" s="79"/>
      <c r="F26" s="79"/>
      <c r="G26" s="79"/>
      <c r="H26" s="79"/>
    </row>
    <row r="27" customFormat="false" ht="16.5" hidden="false" customHeight="true" outlineLevel="0" collapsed="false">
      <c r="A27" s="78"/>
      <c r="B27" s="78"/>
      <c r="C27" s="78"/>
      <c r="D27" s="78"/>
      <c r="E27" s="79"/>
      <c r="F27" s="79"/>
      <c r="G27" s="79"/>
      <c r="H27" s="79"/>
    </row>
    <row r="28" customFormat="false" ht="16.5" hidden="false" customHeight="true" outlineLevel="0" collapsed="false">
      <c r="A28" s="78"/>
      <c r="B28" s="78"/>
      <c r="C28" s="78"/>
      <c r="D28" s="78"/>
      <c r="E28" s="79"/>
      <c r="F28" s="79"/>
      <c r="G28" s="79"/>
      <c r="H28" s="79"/>
    </row>
    <row r="29" customFormat="false" ht="16.5" hidden="false" customHeight="true" outlineLevel="0" collapsed="false">
      <c r="A29" s="78"/>
      <c r="B29" s="78"/>
      <c r="C29" s="78"/>
      <c r="D29" s="78"/>
      <c r="E29" s="79"/>
      <c r="F29" s="79"/>
      <c r="G29" s="79"/>
      <c r="H29" s="79"/>
    </row>
    <row r="30" customFormat="false" ht="16.5" hidden="false" customHeight="true" outlineLevel="0" collapsed="false">
      <c r="A30" s="78"/>
      <c r="B30" s="78"/>
      <c r="C30" s="78"/>
      <c r="D30" s="78"/>
      <c r="E30" s="79"/>
      <c r="F30" s="79"/>
      <c r="G30" s="79"/>
      <c r="H30" s="79"/>
    </row>
    <row r="31" customFormat="false" ht="16.5" hidden="false" customHeight="true" outlineLevel="0" collapsed="false">
      <c r="A31" s="78"/>
      <c r="B31" s="78"/>
      <c r="C31" s="78"/>
      <c r="D31" s="78"/>
      <c r="E31" s="79"/>
      <c r="F31" s="79"/>
      <c r="G31" s="79"/>
      <c r="H31" s="79"/>
    </row>
    <row r="32" customFormat="false" ht="16.5" hidden="false" customHeight="true" outlineLevel="0" collapsed="false">
      <c r="A32" s="78"/>
      <c r="B32" s="78"/>
      <c r="C32" s="78"/>
      <c r="D32" s="78"/>
      <c r="E32" s="79"/>
      <c r="F32" s="79"/>
      <c r="G32" s="79"/>
      <c r="H32" s="79"/>
    </row>
    <row r="33" customFormat="false" ht="16.5" hidden="false" customHeight="true" outlineLevel="0" collapsed="false">
      <c r="A33" s="78"/>
      <c r="B33" s="78"/>
      <c r="C33" s="78"/>
      <c r="D33" s="78"/>
      <c r="E33" s="79"/>
      <c r="F33" s="79"/>
      <c r="G33" s="79"/>
      <c r="H33" s="79"/>
    </row>
    <row r="34" customFormat="false" ht="16.5" hidden="false" customHeight="true" outlineLevel="0" collapsed="false">
      <c r="A34" s="78"/>
      <c r="B34" s="78"/>
      <c r="C34" s="78"/>
      <c r="D34" s="78"/>
      <c r="E34" s="79"/>
      <c r="F34" s="79"/>
      <c r="G34" s="79"/>
      <c r="H34" s="79"/>
    </row>
    <row r="35" customFormat="false" ht="16.5" hidden="false" customHeight="true" outlineLevel="0" collapsed="false">
      <c r="A35" s="78"/>
      <c r="B35" s="78"/>
      <c r="C35" s="78"/>
      <c r="D35" s="78"/>
      <c r="E35" s="79"/>
      <c r="F35" s="79"/>
      <c r="G35" s="79"/>
      <c r="H35" s="79"/>
    </row>
    <row r="36" customFormat="false" ht="16.5" hidden="false" customHeight="true" outlineLevel="0" collapsed="false">
      <c r="A36" s="78"/>
      <c r="B36" s="78"/>
      <c r="C36" s="78"/>
      <c r="D36" s="78"/>
      <c r="E36" s="79"/>
      <c r="F36" s="79"/>
      <c r="G36" s="79"/>
      <c r="H36" s="79"/>
    </row>
    <row r="37" customFormat="false" ht="16.5" hidden="false" customHeight="true" outlineLevel="0" collapsed="false">
      <c r="A37" s="78"/>
      <c r="B37" s="78"/>
      <c r="C37" s="78"/>
      <c r="D37" s="78"/>
      <c r="E37" s="79"/>
      <c r="F37" s="79"/>
      <c r="G37" s="79"/>
      <c r="H37" s="79"/>
    </row>
    <row r="38" customFormat="false" ht="16.5" hidden="false" customHeight="true" outlineLevel="0" collapsed="false">
      <c r="A38" s="78"/>
      <c r="B38" s="78"/>
      <c r="C38" s="78"/>
      <c r="D38" s="78"/>
      <c r="E38" s="79"/>
      <c r="F38" s="79"/>
      <c r="G38" s="79"/>
      <c r="H38" s="79"/>
    </row>
    <row r="39" customFormat="false" ht="16.5" hidden="false" customHeight="true" outlineLevel="0" collapsed="false">
      <c r="A39" s="78"/>
      <c r="B39" s="78"/>
      <c r="C39" s="78"/>
      <c r="D39" s="78"/>
      <c r="E39" s="79"/>
      <c r="F39" s="79"/>
      <c r="G39" s="79"/>
      <c r="H39" s="79"/>
    </row>
    <row r="40" customFormat="false" ht="16.5" hidden="false" customHeight="true" outlineLevel="0" collapsed="false">
      <c r="A40" s="78"/>
      <c r="B40" s="78"/>
      <c r="C40" s="78"/>
      <c r="D40" s="78"/>
      <c r="E40" s="79"/>
      <c r="F40" s="79"/>
      <c r="G40" s="79"/>
      <c r="H40" s="79"/>
    </row>
    <row r="41" customFormat="false" ht="16.5" hidden="false" customHeight="true" outlineLevel="0" collapsed="false">
      <c r="A41" s="78"/>
      <c r="B41" s="78"/>
      <c r="C41" s="78"/>
      <c r="D41" s="78"/>
      <c r="E41" s="79"/>
      <c r="F41" s="79"/>
      <c r="G41" s="79"/>
      <c r="H41" s="79"/>
    </row>
    <row r="42" customFormat="false" ht="16.5" hidden="false" customHeight="true" outlineLevel="0" collapsed="false">
      <c r="A42" s="78"/>
      <c r="B42" s="78"/>
      <c r="C42" s="78"/>
      <c r="D42" s="78"/>
      <c r="E42" s="79"/>
      <c r="F42" s="79"/>
      <c r="G42" s="79"/>
      <c r="H42" s="79"/>
    </row>
    <row r="43" customFormat="false" ht="16.5" hidden="false" customHeight="true" outlineLevel="0" collapsed="false">
      <c r="A43" s="78"/>
      <c r="B43" s="78"/>
      <c r="C43" s="78"/>
      <c r="D43" s="78"/>
      <c r="E43" s="79"/>
      <c r="F43" s="79"/>
      <c r="G43" s="79"/>
      <c r="H43" s="79"/>
    </row>
    <row r="44" customFormat="false" ht="16.5" hidden="false" customHeight="true" outlineLevel="0" collapsed="false">
      <c r="A44" s="78"/>
      <c r="B44" s="78"/>
      <c r="C44" s="78"/>
      <c r="D44" s="78"/>
      <c r="E44" s="79"/>
      <c r="F44" s="79"/>
      <c r="G44" s="79"/>
      <c r="H44" s="79"/>
    </row>
  </sheetData>
  <mergeCells count="2">
    <mergeCell ref="A1:H1"/>
    <mergeCell ref="A2:H2"/>
  </mergeCells>
  <dataValidations count="1">
    <dataValidation allowBlank="false" errorStyle="stop" operator="between" showDropDown="false" showErrorMessage="false" showInputMessage="false" sqref="G4:G500" type="list">
      <formula1>"kg,m²,m³,ml,unid,bolsas,lt,tn,plancha,rollo"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48"/>
  </cols>
  <sheetData>
    <row r="2" customFormat="false" ht="27.75" hidden="false" customHeight="true" outlineLevel="0" collapsed="false">
      <c r="B2" s="80" t="s">
        <v>236</v>
      </c>
      <c r="C2" s="80"/>
    </row>
    <row r="4" customFormat="false" ht="21.75" hidden="false" customHeight="true" outlineLevel="0" collapsed="false">
      <c r="B4" s="81" t="s">
        <v>237</v>
      </c>
      <c r="C4" s="82" t="s">
        <v>238</v>
      </c>
    </row>
    <row r="5" customFormat="false" ht="21.75" hidden="false" customHeight="true" outlineLevel="0" collapsed="false">
      <c r="B5" s="83" t="s">
        <v>239</v>
      </c>
      <c r="C5" s="82" t="s">
        <v>240</v>
      </c>
    </row>
    <row r="6" customFormat="false" ht="21.75" hidden="false" customHeight="true" outlineLevel="0" collapsed="false">
      <c r="B6" s="84" t="s">
        <v>241</v>
      </c>
      <c r="C6" s="82" t="s">
        <v>242</v>
      </c>
    </row>
    <row r="7" customFormat="false" ht="21.75" hidden="false" customHeight="true" outlineLevel="0" collapsed="false">
      <c r="B7" s="85" t="s">
        <v>243</v>
      </c>
      <c r="C7" s="82" t="s">
        <v>244</v>
      </c>
    </row>
    <row r="8" customFormat="false" ht="21.75" hidden="false" customHeight="true" outlineLevel="0" collapsed="false">
      <c r="B8" s="86" t="s">
        <v>245</v>
      </c>
      <c r="C8" s="82" t="s">
        <v>246</v>
      </c>
    </row>
    <row r="9" customFormat="false" ht="21.75" hidden="false" customHeight="true" outlineLevel="0" collapsed="false">
      <c r="B9" s="87" t="s">
        <v>247</v>
      </c>
      <c r="C9" s="82" t="s">
        <v>248</v>
      </c>
    </row>
    <row r="11" customFormat="false" ht="21.75" hidden="false" customHeight="true" outlineLevel="0" collapsed="false">
      <c r="B11" s="88" t="s">
        <v>249</v>
      </c>
      <c r="C11" s="82" t="s">
        <v>250</v>
      </c>
    </row>
    <row r="12" customFormat="false" ht="21.75" hidden="false" customHeight="true" outlineLevel="0" collapsed="false">
      <c r="B12" s="89" t="s">
        <v>251</v>
      </c>
      <c r="C12" s="82" t="s">
        <v>252</v>
      </c>
    </row>
    <row r="13" customFormat="false" ht="21.75" hidden="false" customHeight="true" outlineLevel="0" collapsed="false">
      <c r="B13" s="90" t="s">
        <v>253</v>
      </c>
      <c r="C13" s="82" t="s">
        <v>254</v>
      </c>
    </row>
    <row r="14" customFormat="false" ht="21.75" hidden="false" customHeight="true" outlineLevel="0" collapsed="false">
      <c r="B14" s="91" t="s">
        <v>255</v>
      </c>
      <c r="C14" s="82" t="s">
        <v>256</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2026-04-13T23:48:50Z</dcterms:created>
  <dc:creator>openpyxl</dc:creator>
  <dc:description/>
  <dc:language>en-US</dc:language>
  <cp:lastModifiedBy/>
  <dcterms:modified xsi:type="dcterms:W3CDTF">2026-04-13T23:48:50Z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